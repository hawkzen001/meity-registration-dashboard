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 - MeitY Batches 24-25" sheetId="1" r:id="rId5"/>
  </sheets>
  <definedNames/>
  <calcPr/>
</workbook>
</file>

<file path=xl/sharedStrings.xml><?xml version="1.0" encoding="utf-8"?>
<sst xmlns="http://schemas.openxmlformats.org/spreadsheetml/2006/main" count="627" uniqueCount="202">
  <si>
    <t>Graphics &amp; Web Designer Assistant (MeitY Scheme)</t>
  </si>
  <si>
    <t>Multimedia &amp; Animator Associate (MeitY Scheme)</t>
  </si>
  <si>
    <t>VFX Associate (MeitY Scheme)</t>
  </si>
  <si>
    <t>EXAM</t>
  </si>
  <si>
    <t>Timimg : 2:00 PM to 4:00 PM</t>
  </si>
  <si>
    <t>Batch Code: 2428201</t>
  </si>
  <si>
    <t>Gender</t>
  </si>
  <si>
    <t>Category</t>
  </si>
  <si>
    <t>Remarks</t>
  </si>
  <si>
    <t>Update</t>
  </si>
  <si>
    <t>Timimg : 3:00 PM to 5:00 PM</t>
  </si>
  <si>
    <t>Batch Code: 2435201</t>
  </si>
  <si>
    <t>Scheme</t>
  </si>
  <si>
    <t xml:space="preserve"> Timimg : 2:00 PM to 4:00 PM</t>
  </si>
  <si>
    <t>Batch Code: 2437202</t>
  </si>
  <si>
    <t>Regular</t>
  </si>
  <si>
    <t>Harshad Ashwin Salunkhe</t>
  </si>
  <si>
    <t>Male</t>
  </si>
  <si>
    <t>SC</t>
  </si>
  <si>
    <t xml:space="preserve"> </t>
  </si>
  <si>
    <t>Ms. Deepali Swapnil Bhosale</t>
  </si>
  <si>
    <t>MEITY</t>
  </si>
  <si>
    <t>Ms. Saanvi Naresh Patil</t>
  </si>
  <si>
    <t>Women</t>
  </si>
  <si>
    <t>Yes</t>
  </si>
  <si>
    <t>Sujal Sanjay Nivlekar</t>
  </si>
  <si>
    <t>Mr. Sandesh Arjun Ghule</t>
  </si>
  <si>
    <t>Mr. Sairaj Santosh Pawar</t>
  </si>
  <si>
    <t>Vaibhav Kadam</t>
  </si>
  <si>
    <t>Mr. Rahul Prakesh Kakde</t>
  </si>
  <si>
    <t>Mr. Keyur Chandrakant Teli</t>
  </si>
  <si>
    <t>OBC</t>
  </si>
  <si>
    <t>Gaurav Baban Waghmare</t>
  </si>
  <si>
    <t>Mr. Pratik Prakash Khawle</t>
  </si>
  <si>
    <t>Ms. Piyusha Prakash Mhatre</t>
  </si>
  <si>
    <t>Defaulter</t>
  </si>
  <si>
    <t xml:space="preserve">Om Santosh Pedamkar </t>
  </si>
  <si>
    <t>Mr. Akash Sthool</t>
  </si>
  <si>
    <t>Interchanged from ST</t>
  </si>
  <si>
    <t>Ms. Rutuja Ramchandra Powar</t>
  </si>
  <si>
    <t>Namdev Vitthal Gawari</t>
  </si>
  <si>
    <t>ST</t>
  </si>
  <si>
    <t>Mr. Mukund Sanjay Sonawane</t>
  </si>
  <si>
    <t>Mr. Parth mahesh Dethe</t>
  </si>
  <si>
    <t>Rahul Ravindranath Warghade</t>
  </si>
  <si>
    <t>Mr. Harsh Avinash Dhamnaskar</t>
  </si>
  <si>
    <t>Mr. Soham Devesh Kamat</t>
  </si>
  <si>
    <t>Dhiraj Balu Potkule</t>
  </si>
  <si>
    <t>Mr. Yogesh Gatir</t>
  </si>
  <si>
    <t>Mr. Pranav Balu Zende</t>
  </si>
  <si>
    <t>EWS</t>
  </si>
  <si>
    <t>No</t>
  </si>
  <si>
    <t>Pratik Suresh Devgirikar</t>
  </si>
  <si>
    <t>Mr. Vedant Vishnu Main</t>
  </si>
  <si>
    <t>Mr. Rohit Raju Kokare</t>
  </si>
  <si>
    <t>Kavita Hanmant Lohar</t>
  </si>
  <si>
    <t>Female</t>
  </si>
  <si>
    <t xml:space="preserve">Mr. Tejas Prabhakar Deshmukh </t>
  </si>
  <si>
    <t>Mr. Alankar Arun Patil</t>
  </si>
  <si>
    <t xml:space="preserve">Bhavesh Sanjay Wagh </t>
  </si>
  <si>
    <t>Mr. Pranav Vilasrao Navalkar</t>
  </si>
  <si>
    <t>Mr. Adin Narendra Borhade</t>
  </si>
  <si>
    <t>Tanish Sanjay Janaskar</t>
  </si>
  <si>
    <t>Mr. Abdul Qadir Shaikh</t>
  </si>
  <si>
    <t>Mr. Siddhesh Suresh Ghegadmal</t>
  </si>
  <si>
    <t>Job</t>
  </si>
  <si>
    <t>Ayush Rajesh Karkera</t>
  </si>
  <si>
    <t>Mr. Ajay Narendrarao Satange</t>
  </si>
  <si>
    <t>Ms. Gayatri Sanjay Khannawar</t>
  </si>
  <si>
    <t>Sonali Santosh Narhe</t>
  </si>
  <si>
    <t>Ms. Kiran Manoj Patil</t>
  </si>
  <si>
    <t>Interchanged from EWS</t>
  </si>
  <si>
    <t>Mr. Dipak Vishnu Chavan</t>
  </si>
  <si>
    <t xml:space="preserve">Arun Madhukar Rathod </t>
  </si>
  <si>
    <t xml:space="preserve">Mr. Vinay Kumar </t>
  </si>
  <si>
    <t>Mr. Mayuresh Santosh Mahagaonkar</t>
  </si>
  <si>
    <t>Priya Raju Dethe</t>
  </si>
  <si>
    <t>Interchanged from OBC</t>
  </si>
  <si>
    <t>Mr. Sohel Ejaj Patel</t>
  </si>
  <si>
    <t>Ms. Mrunmayee Dilip Kelambekar</t>
  </si>
  <si>
    <t xml:space="preserve">No </t>
  </si>
  <si>
    <t>Apurva Ashok Khangal</t>
  </si>
  <si>
    <t>Mr. Mohd Shahnawaj Shaikh</t>
  </si>
  <si>
    <t>Mr. Purvesh Narayan Shirke</t>
  </si>
  <si>
    <t xml:space="preserve">Omkar Balu Chougule </t>
  </si>
  <si>
    <t>Ms. Sharanya Ajay Gaikwad</t>
  </si>
  <si>
    <t>Mr. Meghraj Maruti Shinde</t>
  </si>
  <si>
    <t>Sahil Ramesh Jadhav</t>
  </si>
  <si>
    <t>Ms. Tanvi Santosh Gaikwad</t>
  </si>
  <si>
    <t>Mr. Viren Jaya Devadiga</t>
  </si>
  <si>
    <t>Late Joining</t>
  </si>
  <si>
    <t>Vinod Mahadeo Sullewar</t>
  </si>
  <si>
    <t>Ms. Kajal Bajrang Londhe</t>
  </si>
  <si>
    <t>Mr. Siddhesh Atmaram Mhetar</t>
  </si>
  <si>
    <t>NO</t>
  </si>
  <si>
    <t>not recieve</t>
  </si>
  <si>
    <t>Vrushali Dilip More</t>
  </si>
  <si>
    <t>Ms. Sarika Simanchal Panigrahi</t>
  </si>
  <si>
    <t>Mr. Yuvesh Ganesh Hatekar</t>
  </si>
  <si>
    <t>Sutting uttarakhand</t>
  </si>
  <si>
    <t>Ujwala Someshwar Anekar</t>
  </si>
  <si>
    <t xml:space="preserve">Ms. Himanshi Diwakar Makhe </t>
  </si>
  <si>
    <t>Ms. Chetna Yeshwant Pervi</t>
  </si>
  <si>
    <t>Vishakha Shivaji Deshmukh</t>
  </si>
  <si>
    <t>Ms. Tanvi Sandip Khatke</t>
  </si>
  <si>
    <t>Ms. Shruti Sureshkumar Bind</t>
  </si>
  <si>
    <t>Pallavi Sagar Nevage</t>
  </si>
  <si>
    <t>Ms. Sneha Shankar Nahak</t>
  </si>
  <si>
    <t>Ms. Rashmi Ramchandra Kupekar</t>
  </si>
  <si>
    <t>Smita Narayan Patil</t>
  </si>
  <si>
    <t>Ms. Sayli Vijay Shirke</t>
  </si>
  <si>
    <t>Mr. Eeman Nilesh Hegishte</t>
  </si>
  <si>
    <t>Sneha Vinit Thakur</t>
  </si>
  <si>
    <t>Ms. Sneha Manik Shingare</t>
  </si>
  <si>
    <t>Dipesh Subhash Kumbhar</t>
  </si>
  <si>
    <t>Ms. Poonam Rajendra Sonawane</t>
  </si>
  <si>
    <t>Neha Parveen Jabir Shaikh</t>
  </si>
  <si>
    <t>Ms. Yogita Pevekar</t>
  </si>
  <si>
    <t>Particulars</t>
  </si>
  <si>
    <t>WOMEN</t>
  </si>
  <si>
    <t>Total</t>
  </si>
  <si>
    <t>Kasturi Amit Ghag</t>
  </si>
  <si>
    <t>Ms. Suhasini Ganpat Kamble</t>
  </si>
  <si>
    <t>Intake Capacity for a Batch of 25</t>
  </si>
  <si>
    <t>Aditi Ashok Shinde</t>
  </si>
  <si>
    <t>Ms. Devika Sunil Ingle</t>
  </si>
  <si>
    <t>Enrolled in this Batch</t>
  </si>
  <si>
    <t>Intake Adjustment</t>
  </si>
  <si>
    <t>Intake Capacity for a Batch of 30</t>
  </si>
  <si>
    <t>Document Checklist</t>
  </si>
  <si>
    <t>Batch Code: 2437203</t>
  </si>
  <si>
    <t>Photograph</t>
  </si>
  <si>
    <t>Marksheet</t>
  </si>
  <si>
    <t>Age Proof</t>
  </si>
  <si>
    <t>Identity Card</t>
  </si>
  <si>
    <t>Caste certificate</t>
  </si>
  <si>
    <t>Mr. Rajesh Kailash Dholpuriya</t>
  </si>
  <si>
    <t>Batch Code: 2428202</t>
  </si>
  <si>
    <t>Mr. Surajmal Ganpat Shersiya</t>
  </si>
  <si>
    <t>Mr. Devesh Vilas Rokade</t>
  </si>
  <si>
    <t>Mr. Vinit Vishwanath Adhav</t>
  </si>
  <si>
    <t>Mr. Ajit Sunil Bhore</t>
  </si>
  <si>
    <t>Mr. Parth Pramod Salokhe</t>
  </si>
  <si>
    <t>Mr. Darpan Sandesh Ovhal</t>
  </si>
  <si>
    <t>Mr. Sahil Sangam Nikam</t>
  </si>
  <si>
    <t>Mr. Uday Ganpat Jadhav</t>
  </si>
  <si>
    <t>Mr. Karankumar Thanaramji Jatoliya</t>
  </si>
  <si>
    <t>Mr. Ratnadeep Prakash Kakde</t>
  </si>
  <si>
    <t>Graduation document need to be submitted</t>
  </si>
  <si>
    <t>Mr. Mukesh Kailash Jaiswar</t>
  </si>
  <si>
    <t>Mr. Ayush Rajendra Nikalje</t>
  </si>
  <si>
    <t>Mr. Ghanshyam Durgaram Balotiya</t>
  </si>
  <si>
    <t>Mr. Ajay Ulhas Dhavale</t>
  </si>
  <si>
    <t>Mr. Kunal Shailendra Tawde</t>
  </si>
  <si>
    <t>Ms. Gitika Raju Laware</t>
  </si>
  <si>
    <t>Mr. Sahil Raosaheb Kshetre</t>
  </si>
  <si>
    <t>Mr. Jaydeep Vijay Gharat</t>
  </si>
  <si>
    <t>Ms. Apeksha Vishal Walve</t>
  </si>
  <si>
    <t>Ms. Asmita Ravindra Ganjekar</t>
  </si>
  <si>
    <t xml:space="preserve">Ms. Samrudhi Prakash Sonawane </t>
  </si>
  <si>
    <t>Mr. Aum Jitendra Pomendkar</t>
  </si>
  <si>
    <t>Ms. Shivani Sanjay Nagrale</t>
  </si>
  <si>
    <t>Ms. Samruddhi Anant Panchal</t>
  </si>
  <si>
    <t>Ms. Manvi Vijay Gohil</t>
  </si>
  <si>
    <t>Ms. Manasi Ramesh Patil</t>
  </si>
  <si>
    <t>Ms. Namrata Ganesh Chabukswar</t>
  </si>
  <si>
    <t>Ms. Pooja Asharfilal Soni</t>
  </si>
  <si>
    <t xml:space="preserve">Ms. Rajashri Gajanan Padhel </t>
  </si>
  <si>
    <t>Ms. Mantasha Niyaz Ahmed Shaikh</t>
  </si>
  <si>
    <t xml:space="preserve">Ms. Esha Nitin Shivkar </t>
  </si>
  <si>
    <t xml:space="preserve">OBC </t>
  </si>
  <si>
    <t>Ms. Akshata Prashant Sawant</t>
  </si>
  <si>
    <t>Mr. Aditya Suresh Mohite</t>
  </si>
  <si>
    <t xml:space="preserve">Ms. Shruti Sunil Ghaytadak </t>
  </si>
  <si>
    <t>Mr. Devarya Ajay Pednekar</t>
  </si>
  <si>
    <t>Ms. Kiran Arjun Sathe</t>
  </si>
  <si>
    <t>Mr. Rakesh Ramesh Kamtekar</t>
  </si>
  <si>
    <t>Ms. Shivani Shrikant Kamble</t>
  </si>
  <si>
    <t>Mr. Vaibhav Gajanan Angre</t>
  </si>
  <si>
    <t>Ms. Rohini Namdeo Bhadarge</t>
  </si>
  <si>
    <t>Mr. Vivek Madhuakar Vanave</t>
  </si>
  <si>
    <t>Ms. Saukhya Shamal Pote</t>
  </si>
  <si>
    <t>Mr. Sumedh Mangesh Kajrolkar</t>
  </si>
  <si>
    <t>NSQF</t>
  </si>
  <si>
    <t>SC - NSQF</t>
  </si>
  <si>
    <t>Mr. Rahul Raju Jagtap</t>
  </si>
  <si>
    <t>Mr. Ayush Madan Kadam</t>
  </si>
  <si>
    <t>Mr. Tejas Rajendra Angre</t>
  </si>
  <si>
    <t>Intake Capacity for a Batch of 20</t>
  </si>
  <si>
    <t>Mr. Priyanshu Prakash Gupta</t>
  </si>
  <si>
    <t>Mr. Rutik Pandurang Hegde</t>
  </si>
  <si>
    <t>Mr. Saikiran Venktesh Baki</t>
  </si>
  <si>
    <t>Mr. Mohammad Shahzad Khan</t>
  </si>
  <si>
    <t>Mr. Rohan Ashok Dhone</t>
  </si>
  <si>
    <t>Mr. Vighnesh Mangesh Sardesai</t>
  </si>
  <si>
    <t>Exam</t>
  </si>
  <si>
    <t>Exam / Next Batch Admission</t>
  </si>
  <si>
    <t>No Call</t>
  </si>
  <si>
    <t xml:space="preserve">  </t>
  </si>
  <si>
    <t>1 Day Time</t>
  </si>
  <si>
    <t>Dropout</t>
  </si>
  <si>
    <t>Intake Capacity for a Batch of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</si>
</sst>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d\-mmm\-yy"/>
  </numFmts>
  <fonts count="18">
    <font>
      <sz val="10.0"/>
      <color rgb="FF000000"/>
      <name val="Arial"/>
      <scheme val="minor"/>
    </font>
    <font>
      <b/>
      <sz val="15.0"/>
      <color theme="1"/>
      <name val="Cambria"/>
    </font>
    <font/>
    <font>
      <b/>
      <sz val="12.0"/>
      <color theme="1"/>
      <name val="Cambria"/>
    </font>
    <font>
      <b/>
      <sz val="12.0"/>
      <color rgb="FF000000"/>
      <name val="Cambria"/>
    </font>
    <font>
      <sz val="11.0"/>
      <color rgb="FF000000"/>
      <name val="Cambria"/>
    </font>
    <font>
      <sz val="12.0"/>
      <color theme="1"/>
      <name val="Cambria"/>
    </font>
    <font>
      <b/>
      <sz val="12.0"/>
      <color rgb="FFFFFFFF"/>
      <name val="Cambria"/>
    </font>
    <font>
      <sz val="12.0"/>
      <color rgb="FFFFFFFF"/>
      <name val="Cambria"/>
    </font>
    <font>
      <b/>
      <sz val="11.0"/>
      <color theme="1"/>
      <name val="Arial"/>
    </font>
    <font>
      <color theme="1"/>
      <name val="Arial"/>
      <scheme val="minor"/>
    </font>
    <font>
      <sz val="12.0"/>
      <color rgb="FFFF0000"/>
      <name val="Cambria"/>
    </font>
    <font>
      <b/>
      <sz val="11.0"/>
      <color rgb="FFFFFFFF"/>
      <name val="Arial"/>
    </font>
    <font>
      <b/>
      <sz val="11.0"/>
      <color rgb="FF000000"/>
      <name val="Arial"/>
    </font>
    <font>
      <color rgb="FFFF0000"/>
      <name val="Arial"/>
      <scheme val="minor"/>
    </font>
    <font>
      <b/>
      <sz val="11.0"/>
      <color rgb="FF202124"/>
      <name val="Roboto"/>
    </font>
    <font>
      <sz val="12.0"/>
      <color rgb="FF000000"/>
      <name val="Cambria"/>
    </font>
    <font>
      <sz val="12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34A853"/>
        <bgColor rgb="FF34A853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46BDC6"/>
        <bgColor rgb="FF46BDC6"/>
      </patternFill>
    </fill>
    <fill>
      <patternFill patternType="solid">
        <fgColor rgb="FF000000"/>
        <bgColor rgb="FF000000"/>
      </patternFill>
    </fill>
    <fill>
      <patternFill patternType="solid">
        <fgColor theme="5"/>
        <bgColor theme="5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3" fontId="4" numFmtId="0" xfId="0" applyAlignment="1" applyBorder="1" applyFill="1" applyFont="1">
      <alignment horizontal="left" readingOrder="0" vertical="center"/>
    </xf>
    <xf borderId="4" fillId="3" fontId="5" numFmtId="0" xfId="0" applyAlignment="1" applyBorder="1" applyFont="1">
      <alignment vertical="center"/>
    </xf>
    <xf borderId="1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left" readingOrder="0" vertical="center"/>
    </xf>
    <xf borderId="0" fillId="3" fontId="3" numFmtId="0" xfId="0" applyAlignment="1" applyFont="1">
      <alignment horizontal="center" readingOrder="0" vertical="center"/>
    </xf>
    <xf borderId="4" fillId="3" fontId="6" numFmtId="0" xfId="0" applyAlignment="1" applyBorder="1" applyFont="1">
      <alignment horizontal="center" vertical="center"/>
    </xf>
    <xf borderId="4" fillId="4" fontId="7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readingOrder="0" shrinkToFit="0" vertical="center" wrapText="1"/>
    </xf>
    <xf borderId="4" fillId="6" fontId="3" numFmtId="164" xfId="0" applyAlignment="1" applyBorder="1" applyFill="1" applyFont="1" applyNumberForma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/>
    </xf>
    <xf borderId="4" fillId="3" fontId="6" numFmtId="0" xfId="0" applyAlignment="1" applyBorder="1" applyFont="1">
      <alignment horizontal="center" readingOrder="0"/>
    </xf>
    <xf borderId="4" fillId="6" fontId="4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readingOrder="0" shrinkToFit="0" vertical="bottom" wrapText="1"/>
    </xf>
    <xf borderId="4" fillId="3" fontId="4" numFmtId="0" xfId="0" applyAlignment="1" applyBorder="1" applyFont="1">
      <alignment horizontal="center" readingOrder="0"/>
    </xf>
    <xf borderId="4" fillId="6" fontId="6" numFmtId="0" xfId="0" applyAlignment="1" applyBorder="1" applyFont="1">
      <alignment horizontal="center" readingOrder="0" vertical="bottom"/>
    </xf>
    <xf borderId="4" fillId="7" fontId="6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readingOrder="0" shrinkToFit="0" vertical="bottom" wrapText="1"/>
    </xf>
    <xf borderId="0" fillId="3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/>
    </xf>
    <xf borderId="4" fillId="3" fontId="6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shrinkToFit="0" vertical="center" wrapText="1"/>
    </xf>
    <xf borderId="0" fillId="3" fontId="6" numFmtId="0" xfId="0" applyAlignment="1" applyFont="1">
      <alignment horizontal="center" readingOrder="0"/>
    </xf>
    <xf borderId="4" fillId="8" fontId="7" numFmtId="0" xfId="0" applyAlignment="1" applyBorder="1" applyFill="1" applyFont="1">
      <alignment horizontal="center" readingOrder="0" vertical="center"/>
    </xf>
    <xf borderId="5" fillId="5" fontId="7" numFmtId="0" xfId="0" applyAlignment="1" applyBorder="1" applyFont="1">
      <alignment shrinkToFit="0" vertical="center" wrapText="1"/>
    </xf>
    <xf borderId="4" fillId="9" fontId="7" numFmtId="0" xfId="0" applyAlignment="1" applyBorder="1" applyFill="1" applyFont="1">
      <alignment horizontal="center" readingOrder="0" vertical="center"/>
    </xf>
    <xf borderId="4" fillId="10" fontId="7" numFmtId="0" xfId="0" applyAlignment="1" applyBorder="1" applyFill="1" applyFont="1">
      <alignment readingOrder="0" vertical="center"/>
    </xf>
    <xf borderId="4" fillId="6" fontId="9" numFmtId="0" xfId="0" applyAlignment="1" applyBorder="1" applyFont="1">
      <alignment horizontal="center"/>
    </xf>
    <xf borderId="4" fillId="10" fontId="7" numFmtId="0" xfId="0" applyAlignment="1" applyBorder="1" applyFont="1">
      <alignment vertical="center"/>
    </xf>
    <xf borderId="4" fillId="11" fontId="8" numFmtId="0" xfId="0" applyAlignment="1" applyBorder="1" applyFill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5" fillId="10" fontId="7" numFmtId="0" xfId="0" applyAlignment="1" applyBorder="1" applyFont="1">
      <alignment vertical="center"/>
    </xf>
    <xf borderId="4" fillId="0" fontId="10" numFmtId="0" xfId="0" applyBorder="1" applyFont="1"/>
    <xf borderId="0" fillId="3" fontId="11" numFmtId="0" xfId="0" applyAlignment="1" applyFont="1">
      <alignment horizontal="center" readingOrder="0" vertical="center"/>
    </xf>
    <xf borderId="4" fillId="12" fontId="7" numFmtId="0" xfId="0" applyAlignment="1" applyBorder="1" applyFill="1" applyFont="1">
      <alignment horizontal="center" readingOrder="0" vertical="center"/>
    </xf>
    <xf borderId="4" fillId="11" fontId="7" numFmtId="0" xfId="0" applyAlignment="1" applyBorder="1" applyFont="1">
      <alignment shrinkToFit="0" vertical="center" wrapText="1"/>
    </xf>
    <xf borderId="5" fillId="6" fontId="6" numFmtId="0" xfId="0" applyAlignment="1" applyBorder="1" applyFont="1">
      <alignment horizontal="center" readingOrder="0" vertical="center"/>
    </xf>
    <xf borderId="5" fillId="11" fontId="7" numFmtId="0" xfId="0" applyAlignment="1" applyBorder="1" applyFont="1">
      <alignment vertical="center"/>
    </xf>
    <xf borderId="5" fillId="11" fontId="7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bottom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5" fillId="11" fontId="7" numFmtId="0" xfId="0" applyAlignment="1" applyBorder="1" applyFont="1">
      <alignment readingOrder="0" vertical="center"/>
    </xf>
    <xf borderId="4" fillId="0" fontId="12" numFmtId="0" xfId="0" applyAlignment="1" applyBorder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4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4" fillId="13" fontId="7" numFmtId="0" xfId="0" applyAlignment="1" applyBorder="1" applyFill="1" applyFont="1">
      <alignment horizontal="center" readingOrder="0" vertical="center"/>
    </xf>
    <xf borderId="4" fillId="13" fontId="7" numFmtId="0" xfId="0" applyAlignment="1" applyBorder="1" applyFont="1">
      <alignment shrinkToFit="0" vertical="center" wrapText="1"/>
    </xf>
    <xf borderId="4" fillId="14" fontId="8" numFmtId="0" xfId="0" applyAlignment="1" applyBorder="1" applyFill="1" applyFont="1">
      <alignment readingOrder="0" shrinkToFit="0" vertical="bottom" wrapText="1"/>
    </xf>
    <xf borderId="4" fillId="14" fontId="7" numFmtId="0" xfId="0" applyAlignment="1" applyBorder="1" applyFont="1">
      <alignment horizontal="center" readingOrder="0" shrinkToFit="0" vertical="center" wrapText="1"/>
    </xf>
    <xf borderId="4" fillId="14" fontId="7" numFmtId="0" xfId="0" applyAlignment="1" applyBorder="1" applyFont="1">
      <alignment shrinkToFit="0" vertical="center" wrapText="1"/>
    </xf>
    <xf borderId="4" fillId="14" fontId="8" numFmtId="0" xfId="0" applyAlignment="1" applyBorder="1" applyFont="1">
      <alignment readingOrder="0" vertical="bottom"/>
    </xf>
    <xf borderId="4" fillId="13" fontId="8" numFmtId="0" xfId="0" applyAlignment="1" applyBorder="1" applyFont="1">
      <alignment readingOrder="0" shrinkToFit="0" vertical="bottom" wrapText="1"/>
    </xf>
    <xf borderId="4" fillId="2" fontId="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3" fontId="6" numFmtId="0" xfId="0" applyAlignment="1" applyFont="1">
      <alignment horizontal="left" readingOrder="0"/>
    </xf>
    <xf borderId="0" fillId="3" fontId="6" numFmtId="0" xfId="0" applyAlignment="1" applyFont="1">
      <alignment horizontal="left"/>
    </xf>
    <xf borderId="4" fillId="13" fontId="7" numFmtId="0" xfId="0" applyAlignment="1" applyBorder="1" applyFont="1">
      <alignment shrinkToFit="0" vertical="center" wrapText="1"/>
    </xf>
    <xf borderId="4" fillId="13" fontId="7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4" fillId="11" fontId="7" numFmtId="0" xfId="0" applyAlignment="1" applyBorder="1" applyFont="1">
      <alignment horizontal="center" readingOrder="0" vertical="center"/>
    </xf>
    <xf borderId="4" fillId="11" fontId="7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readingOrder="0" vertical="center"/>
    </xf>
    <xf borderId="1" fillId="15" fontId="12" numFmtId="0" xfId="0" applyAlignment="1" applyBorder="1" applyFill="1" applyFont="1">
      <alignment horizontal="center" vertical="bottom"/>
    </xf>
    <xf borderId="4" fillId="5" fontId="12" numFmtId="0" xfId="0" applyAlignment="1" applyBorder="1" applyFont="1">
      <alignment horizontal="center" vertical="bottom"/>
    </xf>
    <xf borderId="4" fillId="10" fontId="12" numFmtId="0" xfId="0" applyAlignment="1" applyBorder="1" applyFont="1">
      <alignment horizontal="center" vertical="bottom"/>
    </xf>
    <xf borderId="4" fillId="11" fontId="12" numFmtId="0" xfId="0" applyAlignment="1" applyBorder="1" applyFont="1">
      <alignment horizontal="center" vertical="bottom"/>
    </xf>
    <xf borderId="4" fillId="14" fontId="12" numFmtId="0" xfId="0" applyAlignment="1" applyBorder="1" applyFont="1">
      <alignment horizontal="center" vertical="bottom"/>
    </xf>
    <xf borderId="4" fillId="13" fontId="12" numFmtId="0" xfId="0" applyAlignment="1" applyBorder="1" applyFont="1">
      <alignment horizontal="center" vertical="bottom"/>
    </xf>
    <xf borderId="4" fillId="15" fontId="12" numFmtId="0" xfId="0" applyAlignment="1" applyBorder="1" applyFont="1">
      <alignment horizontal="center" vertical="bottom"/>
    </xf>
    <xf borderId="1" fillId="6" fontId="9" numFmtId="0" xfId="0" applyAlignment="1" applyBorder="1" applyFont="1">
      <alignment horizontal="left" readingOrder="0" vertical="bottom"/>
    </xf>
    <xf borderId="6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left" vertical="bottom"/>
    </xf>
    <xf borderId="0" fillId="0" fontId="10" numFmtId="0" xfId="0" applyAlignment="1" applyFont="1">
      <alignment vertical="center"/>
    </xf>
    <xf borderId="0" fillId="0" fontId="6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  <xf borderId="7" fillId="15" fontId="12" numFmtId="0" xfId="0" applyAlignment="1" applyBorder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9" fillId="5" fontId="12" numFmtId="0" xfId="0" applyAlignment="1" applyBorder="1" applyFont="1">
      <alignment horizontal="center" vertical="bottom"/>
    </xf>
    <xf borderId="9" fillId="10" fontId="12" numFmtId="0" xfId="0" applyAlignment="1" applyBorder="1" applyFont="1">
      <alignment horizontal="center" vertical="bottom"/>
    </xf>
    <xf borderId="9" fillId="11" fontId="12" numFmtId="0" xfId="0" applyAlignment="1" applyBorder="1" applyFont="1">
      <alignment horizontal="center" vertical="bottom"/>
    </xf>
    <xf borderId="9" fillId="14" fontId="12" numFmtId="0" xfId="0" applyAlignment="1" applyBorder="1" applyFont="1">
      <alignment horizontal="center" vertical="bottom"/>
    </xf>
    <xf borderId="9" fillId="13" fontId="12" numFmtId="0" xfId="0" applyAlignment="1" applyBorder="1" applyFont="1">
      <alignment horizontal="center" vertical="bottom"/>
    </xf>
    <xf borderId="6" fillId="15" fontId="12" numFmtId="0" xfId="0" applyAlignment="1" applyBorder="1" applyFont="1">
      <alignment horizontal="center" vertical="bottom"/>
    </xf>
    <xf borderId="7" fillId="6" fontId="9" numFmtId="0" xfId="0" applyAlignment="1" applyBorder="1" applyFont="1">
      <alignment horizontal="left" vertical="bottom"/>
    </xf>
    <xf borderId="6" fillId="0" fontId="2" numFmtId="0" xfId="0" applyBorder="1" applyFont="1"/>
    <xf borderId="6" fillId="0" fontId="9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0" fillId="6" fontId="15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0" fontId="10" numFmtId="0" xfId="0" applyFont="1"/>
    <xf borderId="3" fillId="6" fontId="3" numFmtId="164" xfId="0" applyAlignment="1" applyBorder="1" applyFont="1" applyNumberFormat="1">
      <alignment horizontal="center" readingOrder="0" vertical="center"/>
    </xf>
    <xf borderId="5" fillId="5" fontId="8" numFmtId="0" xfId="0" applyAlignment="1" applyBorder="1" applyFont="1">
      <alignment readingOrder="0" shrinkToFit="0" vertical="bottom" wrapText="1"/>
    </xf>
    <xf borderId="4" fillId="8" fontId="6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readingOrder="0" vertical="center"/>
    </xf>
    <xf borderId="4" fillId="8" fontId="6" numFmtId="0" xfId="0" applyAlignment="1" applyBorder="1" applyFont="1">
      <alignment readingOrder="0" vertical="bottom"/>
    </xf>
    <xf borderId="4" fillId="8" fontId="3" numFmtId="164" xfId="0" applyAlignment="1" applyBorder="1" applyFont="1" applyNumberFormat="1">
      <alignment horizontal="center" readingOrder="0" vertical="center"/>
    </xf>
    <xf borderId="4" fillId="8" fontId="4" numFmtId="0" xfId="0" applyAlignment="1" applyBorder="1" applyFont="1">
      <alignment horizontal="center" readingOrder="0"/>
    </xf>
    <xf borderId="4" fillId="8" fontId="6" numFmtId="0" xfId="0" applyAlignment="1" applyBorder="1" applyFont="1">
      <alignment horizontal="center" readingOrder="0" vertical="bottom"/>
    </xf>
    <xf borderId="4" fillId="10" fontId="7" numFmtId="0" xfId="0" applyAlignment="1" applyBorder="1" applyFont="1">
      <alignment horizontal="center" readingOrder="0" vertical="bottom"/>
    </xf>
    <xf borderId="4" fillId="10" fontId="8" numFmtId="0" xfId="0" applyAlignment="1" applyBorder="1" applyFont="1">
      <alignment readingOrder="0" vertical="bottom"/>
    </xf>
    <xf borderId="5" fillId="6" fontId="6" numFmtId="0" xfId="0" applyAlignment="1" applyBorder="1" applyFont="1">
      <alignment horizontal="center" readingOrder="0" vertical="bottom"/>
    </xf>
    <xf borderId="5" fillId="11" fontId="8" numFmtId="0" xfId="0" applyAlignment="1" applyBorder="1" applyFont="1">
      <alignment readingOrder="0" vertical="bottom"/>
    </xf>
    <xf borderId="4" fillId="8" fontId="6" numFmtId="0" xfId="0" applyAlignment="1" applyBorder="1" applyFont="1">
      <alignment horizontal="center" readingOrder="0" vertical="center"/>
    </xf>
    <xf borderId="0" fillId="8" fontId="10" numFmtId="0" xfId="0" applyFont="1"/>
    <xf borderId="4" fillId="3" fontId="6" numFmtId="0" xfId="0" applyAlignment="1" applyBorder="1" applyFont="1">
      <alignment readingOrder="0" vertical="bottom"/>
    </xf>
    <xf borderId="4" fillId="3" fontId="3" numFmtId="164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vertical="bottom"/>
    </xf>
    <xf borderId="5" fillId="14" fontId="8" numFmtId="0" xfId="0" applyAlignment="1" applyBorder="1" applyFont="1">
      <alignment readingOrder="0" vertical="bottom"/>
    </xf>
    <xf borderId="0" fillId="3" fontId="10" numFmtId="0" xfId="0" applyFont="1"/>
    <xf borderId="0" fillId="3" fontId="10" numFmtId="0" xfId="0" applyAlignment="1" applyFont="1">
      <alignment readingOrder="0"/>
    </xf>
    <xf borderId="0" fillId="8" fontId="10" numFmtId="0" xfId="0" applyAlignment="1" applyFont="1">
      <alignment readingOrder="0"/>
    </xf>
    <xf borderId="4" fillId="3" fontId="16" numFmtId="0" xfId="0" applyAlignment="1" applyBorder="1" applyFont="1">
      <alignment horizontal="center" readingOrder="0" vertical="center"/>
    </xf>
    <xf borderId="4" fillId="3" fontId="16" numFmtId="0" xfId="0" applyAlignment="1" applyBorder="1" applyFont="1">
      <alignment readingOrder="0" vertical="bottom"/>
    </xf>
    <xf borderId="4" fillId="3" fontId="4" numFmtId="164" xfId="0" applyAlignment="1" applyBorder="1" applyFont="1" applyNumberFormat="1">
      <alignment horizontal="center" readingOrder="0" vertical="center"/>
    </xf>
    <xf borderId="4" fillId="3" fontId="1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horizontal="center" vertical="bottom"/>
    </xf>
    <xf borderId="4" fillId="16" fontId="7" numFmtId="0" xfId="0" applyAlignment="1" applyBorder="1" applyFill="1" applyFont="1">
      <alignment horizontal="center" readingOrder="0" vertical="center"/>
    </xf>
    <xf borderId="4" fillId="16" fontId="4" numFmtId="0" xfId="0" applyAlignment="1" applyBorder="1" applyFont="1">
      <alignment horizontal="center" readingOrder="0" vertical="center"/>
    </xf>
    <xf borderId="4" fillId="16" fontId="8" numFmtId="0" xfId="0" applyAlignment="1" applyBorder="1" applyFont="1">
      <alignment readingOrder="0" shrinkToFit="0" vertical="bottom" wrapText="1"/>
    </xf>
    <xf borderId="4" fillId="3" fontId="10" numFmtId="0" xfId="0" applyBorder="1" applyFont="1"/>
    <xf borderId="7" fillId="6" fontId="9" numFmtId="0" xfId="0" applyAlignment="1" applyBorder="1" applyFont="1">
      <alignment horizontal="left" readingOrder="0" vertical="bottom"/>
    </xf>
    <xf borderId="4" fillId="8" fontId="16" numFmtId="0" xfId="0" applyAlignment="1" applyBorder="1" applyFont="1">
      <alignment horizontal="center" vertical="center"/>
    </xf>
    <xf borderId="4" fillId="8" fontId="16" numFmtId="0" xfId="0" applyAlignment="1" applyBorder="1" applyFont="1">
      <alignment horizontal="center" readingOrder="0" vertical="center"/>
    </xf>
    <xf borderId="4" fillId="8" fontId="16" numFmtId="0" xfId="0" applyAlignment="1" applyBorder="1" applyFont="1">
      <alignment readingOrder="0" vertical="bottom"/>
    </xf>
    <xf borderId="4" fillId="8" fontId="16" numFmtId="164" xfId="0" applyAlignment="1" applyBorder="1" applyFont="1" applyNumberFormat="1">
      <alignment horizontal="center" readingOrder="0" vertical="center"/>
    </xf>
    <xf borderId="4" fillId="8" fontId="16" numFmtId="0" xfId="0" applyAlignment="1" applyBorder="1" applyFont="1">
      <alignment horizontal="center" readingOrder="0"/>
    </xf>
    <xf borderId="4" fillId="8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readingOrder="0" vertical="bottom"/>
    </xf>
    <xf borderId="0" fillId="3" fontId="6" numFmtId="0" xfId="0" applyAlignment="1" applyFont="1">
      <alignment horizontal="center" vertical="center"/>
    </xf>
    <xf borderId="0" fillId="6" fontId="4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bottom"/>
    </xf>
    <xf borderId="0" fillId="6" fontId="3" numFmtId="164" xfId="0" applyAlignment="1" applyFont="1" applyNumberFormat="1">
      <alignment horizontal="center" readingOrder="0" vertical="center"/>
    </xf>
    <xf borderId="0" fillId="3" fontId="4" numFmtId="0" xfId="0" applyAlignment="1" applyFont="1">
      <alignment horizontal="center" readingOrder="0"/>
    </xf>
    <xf borderId="0" fillId="6" fontId="6" numFmtId="0" xfId="0" applyAlignment="1" applyFont="1">
      <alignment horizontal="center" readingOrder="0" vertical="bottom"/>
    </xf>
    <xf borderId="1" fillId="0" fontId="17" numFmtId="0" xfId="0" applyAlignment="1" applyBorder="1" applyFont="1">
      <alignment readingOrder="0"/>
    </xf>
    <xf borderId="8" fillId="0" fontId="17" numFmtId="0" xfId="0" applyAlignment="1" applyBorder="1" applyFont="1">
      <alignment readingOrder="0"/>
    </xf>
    <xf borderId="8" fillId="0" fontId="10" numFmtId="0" xfId="0" applyAlignment="1" applyBorder="1" applyFont="1">
      <alignment readingOrder="0"/>
    </xf>
    <xf borderId="1" fillId="6" fontId="17" numFmtId="0" xfId="0" applyAlignment="1" applyBorder="1" applyFont="1">
      <alignment horizontal="left" readingOrder="0" vertical="center"/>
    </xf>
    <xf borderId="0" fillId="3" fontId="4" numFmtId="0" xfId="0" applyAlignment="1" applyFont="1">
      <alignment horizontal="left" readingOrder="0" vertical="center"/>
    </xf>
    <xf borderId="0" fillId="3" fontId="4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readingOrder="0" vertical="bottom"/>
    </xf>
    <xf borderId="0" fillId="6" fontId="4" numFmtId="0" xfId="0" applyAlignment="1" applyFont="1">
      <alignment horizontal="center" readingOrder="0"/>
    </xf>
    <xf borderId="0" fillId="3" fontId="6" numFmtId="0" xfId="0" applyAlignment="1" applyFont="1">
      <alignment readingOrder="0" vertical="bottom"/>
    </xf>
    <xf borderId="0" fillId="3" fontId="3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hidden="1" min="2" max="2" width="12.0"/>
    <col customWidth="1" min="3" max="3" width="11.13"/>
    <col customWidth="1" min="4" max="4" width="32.0"/>
    <col customWidth="1" min="5" max="5" width="14.25"/>
    <col customWidth="1" min="9" max="9" width="21.63"/>
    <col customWidth="1" min="10" max="10" width="38.5"/>
    <col customWidth="1" min="13" max="13" width="6.38"/>
    <col customWidth="1" min="16" max="16" width="30.13"/>
    <col customWidth="1" min="21" max="21" width="21.63"/>
    <col customWidth="1" min="22" max="22" width="29.88"/>
    <col customWidth="1" min="24" max="24" width="6.13"/>
    <col customWidth="1" min="25" max="25" width="11.13"/>
    <col customWidth="1" hidden="1" min="26" max="26" width="14.38"/>
    <col customWidth="1" min="27" max="27" width="36.0"/>
    <col customWidth="1" min="31" max="31" width="14.13"/>
    <col customWidth="1" min="32" max="32" width="21.88"/>
    <col customWidth="1" min="33" max="33" width="17.63"/>
    <col customWidth="1" min="34" max="34" width="12.88"/>
    <col customWidth="1" min="35" max="35" width="9.75"/>
    <col customWidth="1" min="38" max="38" width="1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5"/>
      <c r="X1" s="4" t="s">
        <v>2</v>
      </c>
      <c r="Y1" s="2"/>
      <c r="Z1" s="2"/>
      <c r="AA1" s="2"/>
      <c r="AB1" s="2"/>
      <c r="AC1" s="2"/>
      <c r="AD1" s="2"/>
      <c r="AE1" s="2"/>
      <c r="AF1" s="2"/>
      <c r="AG1" s="5"/>
      <c r="AH1" s="6" t="s">
        <v>3</v>
      </c>
      <c r="AI1" s="7"/>
      <c r="AJ1" s="7"/>
      <c r="AK1" s="7"/>
      <c r="AL1" s="7"/>
      <c r="AM1" s="7"/>
    </row>
    <row r="2">
      <c r="A2" s="8" t="s">
        <v>4</v>
      </c>
      <c r="B2" s="9"/>
      <c r="C2" s="9"/>
      <c r="D2" s="9"/>
      <c r="E2" s="10" t="s">
        <v>5</v>
      </c>
      <c r="F2" s="5"/>
      <c r="G2" s="11" t="s">
        <v>6</v>
      </c>
      <c r="H2" s="12" t="s">
        <v>7</v>
      </c>
      <c r="I2" s="12" t="s">
        <v>8</v>
      </c>
      <c r="J2" s="12" t="s">
        <v>9</v>
      </c>
      <c r="M2" s="8" t="s">
        <v>10</v>
      </c>
      <c r="N2" s="9"/>
      <c r="O2" s="9"/>
      <c r="P2" s="9"/>
      <c r="Q2" s="11" t="s">
        <v>11</v>
      </c>
      <c r="R2" s="9"/>
      <c r="S2" s="11" t="s">
        <v>12</v>
      </c>
      <c r="T2" s="12" t="s">
        <v>7</v>
      </c>
      <c r="U2" s="12" t="s">
        <v>8</v>
      </c>
      <c r="V2" s="12" t="s">
        <v>9</v>
      </c>
      <c r="X2" s="13" t="s">
        <v>13</v>
      </c>
      <c r="Y2" s="2"/>
      <c r="Z2" s="5"/>
      <c r="AA2" s="9"/>
      <c r="AB2" s="11" t="s">
        <v>14</v>
      </c>
      <c r="AC2" s="9"/>
      <c r="AD2" s="11" t="s">
        <v>12</v>
      </c>
      <c r="AE2" s="12" t="s">
        <v>7</v>
      </c>
      <c r="AF2" s="12" t="s">
        <v>8</v>
      </c>
      <c r="AG2" s="12" t="s">
        <v>9</v>
      </c>
      <c r="AI2" s="14"/>
      <c r="AJ2" s="14"/>
      <c r="AK2" s="14"/>
      <c r="AL2" s="14"/>
      <c r="AM2" s="14"/>
    </row>
    <row r="3">
      <c r="A3" s="15">
        <v>1.0</v>
      </c>
      <c r="B3" s="16" t="s">
        <v>15</v>
      </c>
      <c r="C3" s="16">
        <v>2.42820101E8</v>
      </c>
      <c r="D3" s="17" t="s">
        <v>16</v>
      </c>
      <c r="E3" s="18">
        <v>45505.0</v>
      </c>
      <c r="F3" s="18">
        <v>45656.0</v>
      </c>
      <c r="G3" s="11" t="s">
        <v>17</v>
      </c>
      <c r="H3" s="19" t="s">
        <v>18</v>
      </c>
      <c r="I3" s="20"/>
      <c r="J3" s="21" t="s">
        <v>19</v>
      </c>
      <c r="M3" s="15">
        <v>1.0</v>
      </c>
      <c r="N3" s="22">
        <v>2.43520101E8</v>
      </c>
      <c r="O3" s="22"/>
      <c r="P3" s="23" t="s">
        <v>20</v>
      </c>
      <c r="Q3" s="18">
        <v>45555.0</v>
      </c>
      <c r="R3" s="18">
        <v>45708.0</v>
      </c>
      <c r="S3" s="24" t="s">
        <v>21</v>
      </c>
      <c r="T3" s="25" t="s">
        <v>18</v>
      </c>
      <c r="U3" s="20"/>
      <c r="V3" s="20"/>
      <c r="X3" s="26">
        <v>1.0</v>
      </c>
      <c r="Y3" s="22">
        <v>2.43720201E8</v>
      </c>
      <c r="Z3" s="22"/>
      <c r="AA3" s="27" t="s">
        <v>22</v>
      </c>
      <c r="AB3" s="18">
        <v>45607.0</v>
      </c>
      <c r="AC3" s="18">
        <v>45727.0</v>
      </c>
      <c r="AD3" s="24" t="s">
        <v>21</v>
      </c>
      <c r="AE3" s="25" t="s">
        <v>23</v>
      </c>
      <c r="AF3" s="20"/>
      <c r="AG3" s="20"/>
      <c r="AH3" s="28" t="s">
        <v>24</v>
      </c>
      <c r="AI3" s="29"/>
      <c r="AJ3" s="29"/>
      <c r="AK3" s="29"/>
      <c r="AL3" s="29"/>
      <c r="AM3" s="29"/>
    </row>
    <row r="4">
      <c r="A4" s="30">
        <v>2.0</v>
      </c>
      <c r="B4" s="16" t="s">
        <v>15</v>
      </c>
      <c r="C4" s="16">
        <v>2.42820102E8</v>
      </c>
      <c r="D4" s="31" t="s">
        <v>25</v>
      </c>
      <c r="E4" s="18">
        <v>45505.0</v>
      </c>
      <c r="F4" s="18">
        <v>45656.0</v>
      </c>
      <c r="G4" s="11" t="s">
        <v>17</v>
      </c>
      <c r="H4" s="19" t="s">
        <v>18</v>
      </c>
      <c r="I4" s="20"/>
      <c r="J4" s="20"/>
      <c r="M4" s="30">
        <v>2.0</v>
      </c>
      <c r="N4" s="22">
        <v>2.43520102E8</v>
      </c>
      <c r="O4" s="22"/>
      <c r="P4" s="23" t="s">
        <v>26</v>
      </c>
      <c r="Q4" s="18">
        <v>45555.0</v>
      </c>
      <c r="R4" s="18">
        <v>45708.0</v>
      </c>
      <c r="S4" s="24" t="s">
        <v>21</v>
      </c>
      <c r="T4" s="25" t="s">
        <v>18</v>
      </c>
      <c r="U4" s="20"/>
      <c r="V4" s="20"/>
      <c r="X4" s="30">
        <v>2.0</v>
      </c>
      <c r="Y4" s="22">
        <v>2.43720202E8</v>
      </c>
      <c r="Z4" s="22"/>
      <c r="AA4" s="27" t="s">
        <v>27</v>
      </c>
      <c r="AB4" s="18">
        <v>45607.0</v>
      </c>
      <c r="AC4" s="18">
        <v>45727.0</v>
      </c>
      <c r="AD4" s="24" t="s">
        <v>21</v>
      </c>
      <c r="AE4" s="25" t="s">
        <v>18</v>
      </c>
      <c r="AF4" s="20"/>
      <c r="AG4" s="20"/>
      <c r="AH4" s="28" t="s">
        <v>24</v>
      </c>
      <c r="AI4" s="29"/>
      <c r="AJ4" s="29"/>
      <c r="AK4" s="29"/>
      <c r="AL4" s="29"/>
      <c r="AM4" s="29"/>
    </row>
    <row r="5">
      <c r="A5" s="15">
        <v>3.0</v>
      </c>
      <c r="B5" s="16" t="s">
        <v>15</v>
      </c>
      <c r="C5" s="16">
        <v>2.42820103E8</v>
      </c>
      <c r="D5" s="31" t="s">
        <v>28</v>
      </c>
      <c r="E5" s="18">
        <v>45505.0</v>
      </c>
      <c r="F5" s="18">
        <v>45656.0</v>
      </c>
      <c r="G5" s="11" t="s">
        <v>17</v>
      </c>
      <c r="H5" s="19" t="s">
        <v>18</v>
      </c>
      <c r="I5" s="20"/>
      <c r="J5" s="20"/>
      <c r="M5" s="15">
        <v>3.0</v>
      </c>
      <c r="N5" s="22">
        <v>2.43520103E8</v>
      </c>
      <c r="O5" s="22"/>
      <c r="P5" s="23" t="s">
        <v>29</v>
      </c>
      <c r="Q5" s="18">
        <v>45555.0</v>
      </c>
      <c r="R5" s="18">
        <v>45708.0</v>
      </c>
      <c r="S5" s="24" t="s">
        <v>21</v>
      </c>
      <c r="T5" s="25" t="s">
        <v>18</v>
      </c>
      <c r="U5" s="20"/>
      <c r="V5" s="20"/>
      <c r="X5" s="15">
        <v>3.0</v>
      </c>
      <c r="Y5" s="22">
        <v>2.43720203E8</v>
      </c>
      <c r="Z5" s="22"/>
      <c r="AA5" s="27" t="s">
        <v>30</v>
      </c>
      <c r="AB5" s="18">
        <v>45607.0</v>
      </c>
      <c r="AC5" s="18">
        <v>45727.0</v>
      </c>
      <c r="AD5" s="24" t="s">
        <v>21</v>
      </c>
      <c r="AE5" s="25" t="s">
        <v>31</v>
      </c>
      <c r="AF5" s="20"/>
      <c r="AG5" s="20"/>
      <c r="AH5" s="28" t="s">
        <v>24</v>
      </c>
      <c r="AI5" s="29"/>
      <c r="AJ5" s="29"/>
      <c r="AK5" s="29"/>
      <c r="AL5" s="29"/>
      <c r="AM5" s="29"/>
    </row>
    <row r="6">
      <c r="A6" s="30">
        <v>4.0</v>
      </c>
      <c r="B6" s="16" t="s">
        <v>15</v>
      </c>
      <c r="C6" s="16">
        <v>2.42820104E8</v>
      </c>
      <c r="D6" s="31" t="s">
        <v>32</v>
      </c>
      <c r="E6" s="18">
        <v>45505.0</v>
      </c>
      <c r="F6" s="18">
        <v>45656.0</v>
      </c>
      <c r="G6" s="11" t="s">
        <v>17</v>
      </c>
      <c r="H6" s="19" t="s">
        <v>18</v>
      </c>
      <c r="I6" s="20"/>
      <c r="J6" s="20"/>
      <c r="M6" s="15">
        <v>4.0</v>
      </c>
      <c r="N6" s="22">
        <v>2.43520104E8</v>
      </c>
      <c r="O6" s="22"/>
      <c r="P6" s="23" t="s">
        <v>33</v>
      </c>
      <c r="Q6" s="18">
        <v>45555.0</v>
      </c>
      <c r="R6" s="18">
        <v>45708.0</v>
      </c>
      <c r="S6" s="24" t="s">
        <v>21</v>
      </c>
      <c r="T6" s="25" t="s">
        <v>18</v>
      </c>
      <c r="U6" s="20"/>
      <c r="V6" s="21"/>
      <c r="X6" s="15">
        <v>4.0</v>
      </c>
      <c r="Y6" s="22">
        <v>2.43720204E8</v>
      </c>
      <c r="Z6" s="22"/>
      <c r="AA6" s="27" t="s">
        <v>34</v>
      </c>
      <c r="AB6" s="18">
        <v>45607.0</v>
      </c>
      <c r="AC6" s="18">
        <v>45727.0</v>
      </c>
      <c r="AD6" s="24" t="s">
        <v>21</v>
      </c>
      <c r="AE6" s="25" t="s">
        <v>23</v>
      </c>
      <c r="AF6" s="20"/>
      <c r="AG6" s="21"/>
      <c r="AH6" s="28" t="s">
        <v>24</v>
      </c>
      <c r="AI6" s="32"/>
      <c r="AJ6" s="32"/>
      <c r="AK6" s="32"/>
      <c r="AL6" s="32"/>
      <c r="AM6" s="32"/>
    </row>
    <row r="7">
      <c r="A7" s="15">
        <v>5.0</v>
      </c>
      <c r="B7" s="33" t="s">
        <v>35</v>
      </c>
      <c r="C7" s="16">
        <v>2.42820105E8</v>
      </c>
      <c r="D7" s="34" t="s">
        <v>36</v>
      </c>
      <c r="E7" s="18">
        <v>45505.0</v>
      </c>
      <c r="F7" s="18">
        <v>45656.0</v>
      </c>
      <c r="G7" s="11" t="s">
        <v>17</v>
      </c>
      <c r="H7" s="19" t="s">
        <v>18</v>
      </c>
      <c r="I7" s="20"/>
      <c r="J7" s="20"/>
      <c r="M7" s="30">
        <v>5.0</v>
      </c>
      <c r="N7" s="22">
        <v>2.43520105E8</v>
      </c>
      <c r="O7" s="22"/>
      <c r="P7" s="23" t="s">
        <v>37</v>
      </c>
      <c r="Q7" s="18">
        <v>45555.0</v>
      </c>
      <c r="R7" s="18">
        <v>45708.0</v>
      </c>
      <c r="S7" s="24" t="s">
        <v>21</v>
      </c>
      <c r="T7" s="25" t="s">
        <v>18</v>
      </c>
      <c r="U7" s="21" t="s">
        <v>38</v>
      </c>
      <c r="V7" s="21"/>
      <c r="X7" s="30">
        <v>5.0</v>
      </c>
      <c r="Y7" s="22">
        <v>2.43720205E8</v>
      </c>
      <c r="Z7" s="22"/>
      <c r="AA7" s="27" t="s">
        <v>39</v>
      </c>
      <c r="AB7" s="18">
        <v>45607.0</v>
      </c>
      <c r="AC7" s="18">
        <v>45727.0</v>
      </c>
      <c r="AD7" s="24" t="s">
        <v>21</v>
      </c>
      <c r="AE7" s="25" t="s">
        <v>23</v>
      </c>
      <c r="AF7" s="21"/>
      <c r="AG7" s="21"/>
      <c r="AH7" s="28" t="s">
        <v>24</v>
      </c>
      <c r="AI7" s="32"/>
      <c r="AJ7" s="32"/>
      <c r="AK7" s="32"/>
      <c r="AL7" s="32"/>
      <c r="AM7" s="32"/>
    </row>
    <row r="8">
      <c r="A8" s="30">
        <v>6.0</v>
      </c>
      <c r="B8" s="35" t="s">
        <v>15</v>
      </c>
      <c r="C8" s="35">
        <v>2.42820106E8</v>
      </c>
      <c r="D8" s="36" t="s">
        <v>40</v>
      </c>
      <c r="E8" s="18">
        <v>45505.0</v>
      </c>
      <c r="F8" s="18">
        <v>45656.0</v>
      </c>
      <c r="G8" s="11" t="s">
        <v>17</v>
      </c>
      <c r="H8" s="19" t="s">
        <v>41</v>
      </c>
      <c r="I8" s="21" t="s">
        <v>19</v>
      </c>
      <c r="J8" s="37"/>
      <c r="M8" s="15">
        <v>6.0</v>
      </c>
      <c r="N8" s="22">
        <v>2.43520106E8</v>
      </c>
      <c r="O8" s="22"/>
      <c r="P8" s="23" t="s">
        <v>42</v>
      </c>
      <c r="Q8" s="18">
        <v>45555.0</v>
      </c>
      <c r="R8" s="18">
        <v>45708.0</v>
      </c>
      <c r="S8" s="24" t="s">
        <v>21</v>
      </c>
      <c r="T8" s="25" t="s">
        <v>18</v>
      </c>
      <c r="U8" s="21" t="s">
        <v>38</v>
      </c>
      <c r="V8" s="20"/>
      <c r="X8" s="15">
        <v>6.0</v>
      </c>
      <c r="Y8" s="22">
        <v>2.43720206E8</v>
      </c>
      <c r="Z8" s="22"/>
      <c r="AA8" s="27" t="s">
        <v>43</v>
      </c>
      <c r="AB8" s="18">
        <v>45607.0</v>
      </c>
      <c r="AC8" s="18">
        <v>45727.0</v>
      </c>
      <c r="AD8" s="24" t="s">
        <v>21</v>
      </c>
      <c r="AE8" s="25" t="s">
        <v>18</v>
      </c>
      <c r="AF8" s="21"/>
      <c r="AG8" s="20"/>
      <c r="AH8" s="28" t="s">
        <v>24</v>
      </c>
      <c r="AI8" s="29"/>
      <c r="AJ8" s="29"/>
      <c r="AK8" s="29"/>
      <c r="AL8" s="29"/>
      <c r="AM8" s="29"/>
    </row>
    <row r="9">
      <c r="A9" s="15">
        <v>7.0</v>
      </c>
      <c r="B9" s="35" t="s">
        <v>15</v>
      </c>
      <c r="C9" s="35">
        <v>2.42820107E8</v>
      </c>
      <c r="D9" s="38" t="s">
        <v>44</v>
      </c>
      <c r="E9" s="18">
        <v>45505.0</v>
      </c>
      <c r="F9" s="18">
        <v>45656.0</v>
      </c>
      <c r="G9" s="11" t="s">
        <v>17</v>
      </c>
      <c r="H9" s="19" t="s">
        <v>41</v>
      </c>
      <c r="I9" s="20"/>
      <c r="J9" s="37"/>
      <c r="M9" s="15">
        <v>7.0</v>
      </c>
      <c r="N9" s="22">
        <v>2.43520107E8</v>
      </c>
      <c r="O9" s="22"/>
      <c r="P9" s="39" t="s">
        <v>45</v>
      </c>
      <c r="Q9" s="18">
        <v>45555.0</v>
      </c>
      <c r="R9" s="18">
        <v>45708.0</v>
      </c>
      <c r="S9" s="24" t="s">
        <v>21</v>
      </c>
      <c r="T9" s="25" t="s">
        <v>31</v>
      </c>
      <c r="U9" s="20"/>
      <c r="V9" s="20"/>
      <c r="X9" s="15">
        <v>7.0</v>
      </c>
      <c r="Y9" s="22">
        <v>2.43720207E8</v>
      </c>
      <c r="Z9" s="22"/>
      <c r="AA9" s="40" t="s">
        <v>46</v>
      </c>
      <c r="AB9" s="18">
        <v>45607.0</v>
      </c>
      <c r="AC9" s="18">
        <v>45727.0</v>
      </c>
      <c r="AD9" s="24" t="s">
        <v>21</v>
      </c>
      <c r="AE9" s="25" t="s">
        <v>31</v>
      </c>
      <c r="AF9" s="20"/>
      <c r="AG9" s="20"/>
      <c r="AH9" s="28" t="s">
        <v>24</v>
      </c>
      <c r="AI9" s="29"/>
      <c r="AJ9" s="29"/>
      <c r="AK9" s="29"/>
      <c r="AL9" s="29"/>
      <c r="AM9" s="29"/>
    </row>
    <row r="10">
      <c r="A10" s="30">
        <v>8.0</v>
      </c>
      <c r="B10" s="33" t="s">
        <v>35</v>
      </c>
      <c r="C10" s="35">
        <v>2.42820108E8</v>
      </c>
      <c r="D10" s="41" t="s">
        <v>47</v>
      </c>
      <c r="E10" s="18">
        <v>45505.0</v>
      </c>
      <c r="F10" s="18">
        <v>45656.0</v>
      </c>
      <c r="G10" s="11" t="s">
        <v>17</v>
      </c>
      <c r="H10" s="19" t="s">
        <v>41</v>
      </c>
      <c r="I10" s="20"/>
      <c r="J10" s="42"/>
      <c r="M10" s="30">
        <v>8.0</v>
      </c>
      <c r="N10" s="22">
        <v>2.43520108E8</v>
      </c>
      <c r="O10" s="22"/>
      <c r="P10" s="39" t="s">
        <v>48</v>
      </c>
      <c r="Q10" s="18">
        <v>45555.0</v>
      </c>
      <c r="R10" s="18">
        <v>45708.0</v>
      </c>
      <c r="S10" s="24" t="s">
        <v>21</v>
      </c>
      <c r="T10" s="25" t="s">
        <v>31</v>
      </c>
      <c r="U10" s="20"/>
      <c r="V10" s="20"/>
      <c r="X10" s="30">
        <v>8.0</v>
      </c>
      <c r="Y10" s="22">
        <v>2.43720208E8</v>
      </c>
      <c r="Z10" s="22"/>
      <c r="AA10" s="40" t="s">
        <v>49</v>
      </c>
      <c r="AB10" s="18">
        <v>45607.0</v>
      </c>
      <c r="AC10" s="18">
        <v>45727.0</v>
      </c>
      <c r="AD10" s="24" t="s">
        <v>21</v>
      </c>
      <c r="AE10" s="25" t="s">
        <v>50</v>
      </c>
      <c r="AF10" s="20"/>
      <c r="AG10" s="20"/>
      <c r="AH10" s="43" t="s">
        <v>51</v>
      </c>
      <c r="AI10" s="29"/>
      <c r="AJ10" s="29"/>
      <c r="AK10" s="29"/>
      <c r="AL10" s="29"/>
      <c r="AM10" s="29"/>
    </row>
    <row r="11">
      <c r="A11" s="15">
        <v>9.0</v>
      </c>
      <c r="B11" s="44" t="s">
        <v>15</v>
      </c>
      <c r="C11" s="44">
        <v>2.42820109E8</v>
      </c>
      <c r="D11" s="45" t="s">
        <v>52</v>
      </c>
      <c r="E11" s="18">
        <v>45505.0</v>
      </c>
      <c r="F11" s="18">
        <v>45656.0</v>
      </c>
      <c r="G11" s="11" t="s">
        <v>17</v>
      </c>
      <c r="H11" s="46" t="s">
        <v>31</v>
      </c>
      <c r="I11" s="20"/>
      <c r="J11" s="42"/>
      <c r="M11" s="15">
        <v>9.0</v>
      </c>
      <c r="N11" s="22">
        <v>2.43520109E8</v>
      </c>
      <c r="O11" s="22"/>
      <c r="P11" s="39" t="s">
        <v>53</v>
      </c>
      <c r="Q11" s="18">
        <v>45555.0</v>
      </c>
      <c r="R11" s="18">
        <v>45708.0</v>
      </c>
      <c r="S11" s="24" t="s">
        <v>21</v>
      </c>
      <c r="T11" s="25" t="s">
        <v>31</v>
      </c>
      <c r="U11" s="20"/>
      <c r="V11" s="20"/>
      <c r="X11" s="15">
        <v>9.0</v>
      </c>
      <c r="Y11" s="22">
        <v>2.43720209E8</v>
      </c>
      <c r="Z11" s="22"/>
      <c r="AA11" s="40" t="s">
        <v>54</v>
      </c>
      <c r="AB11" s="18">
        <v>45607.0</v>
      </c>
      <c r="AC11" s="18">
        <v>45727.0</v>
      </c>
      <c r="AD11" s="24" t="s">
        <v>21</v>
      </c>
      <c r="AE11" s="25" t="s">
        <v>18</v>
      </c>
      <c r="AF11" s="20"/>
      <c r="AG11" s="20"/>
      <c r="AH11" s="28" t="s">
        <v>24</v>
      </c>
      <c r="AI11" s="29"/>
      <c r="AJ11" s="29"/>
      <c r="AK11" s="29"/>
      <c r="AL11" s="29"/>
      <c r="AM11" s="29"/>
    </row>
    <row r="12">
      <c r="A12" s="30">
        <v>10.0</v>
      </c>
      <c r="B12" s="44" t="s">
        <v>15</v>
      </c>
      <c r="C12" s="44">
        <v>2.4282011E8</v>
      </c>
      <c r="D12" s="47" t="s">
        <v>55</v>
      </c>
      <c r="E12" s="18">
        <v>45505.0</v>
      </c>
      <c r="F12" s="18">
        <v>45656.0</v>
      </c>
      <c r="G12" s="11" t="s">
        <v>56</v>
      </c>
      <c r="H12" s="46" t="s">
        <v>31</v>
      </c>
      <c r="I12" s="20"/>
      <c r="J12" s="42"/>
      <c r="M12" s="30">
        <v>10.0</v>
      </c>
      <c r="N12" s="22">
        <v>2.4352011E8</v>
      </c>
      <c r="O12" s="22"/>
      <c r="P12" s="39" t="s">
        <v>57</v>
      </c>
      <c r="Q12" s="18">
        <v>45555.0</v>
      </c>
      <c r="R12" s="18">
        <v>45708.0</v>
      </c>
      <c r="S12" s="24" t="s">
        <v>21</v>
      </c>
      <c r="T12" s="25" t="s">
        <v>31</v>
      </c>
      <c r="U12" s="20"/>
      <c r="V12" s="20"/>
      <c r="X12" s="30">
        <v>10.0</v>
      </c>
      <c r="Y12" s="22">
        <v>2.4372021E8</v>
      </c>
      <c r="Z12" s="22"/>
      <c r="AA12" s="40" t="s">
        <v>58</v>
      </c>
      <c r="AB12" s="18">
        <v>45607.0</v>
      </c>
      <c r="AC12" s="18">
        <v>45727.0</v>
      </c>
      <c r="AD12" s="24" t="s">
        <v>21</v>
      </c>
      <c r="AE12" s="25" t="s">
        <v>31</v>
      </c>
      <c r="AF12" s="20"/>
      <c r="AG12" s="20"/>
      <c r="AH12" s="43" t="s">
        <v>51</v>
      </c>
      <c r="AI12" s="29"/>
      <c r="AJ12" s="29"/>
      <c r="AK12" s="29"/>
      <c r="AL12" s="29"/>
      <c r="AM12" s="29"/>
    </row>
    <row r="13">
      <c r="A13" s="15">
        <v>11.0</v>
      </c>
      <c r="B13" s="44" t="s">
        <v>15</v>
      </c>
      <c r="C13" s="44">
        <v>2.42820111E8</v>
      </c>
      <c r="D13" s="48" t="s">
        <v>59</v>
      </c>
      <c r="E13" s="18">
        <v>45505.0</v>
      </c>
      <c r="F13" s="18">
        <v>45656.0</v>
      </c>
      <c r="G13" s="11" t="s">
        <v>17</v>
      </c>
      <c r="H13" s="46" t="s">
        <v>31</v>
      </c>
      <c r="I13" s="20"/>
      <c r="J13" s="42"/>
      <c r="M13" s="15">
        <v>11.0</v>
      </c>
      <c r="N13" s="22">
        <v>2.43520111E8</v>
      </c>
      <c r="O13" s="22"/>
      <c r="P13" s="39" t="s">
        <v>60</v>
      </c>
      <c r="Q13" s="18">
        <v>45555.0</v>
      </c>
      <c r="R13" s="18">
        <v>45708.0</v>
      </c>
      <c r="S13" s="24" t="s">
        <v>21</v>
      </c>
      <c r="T13" s="25" t="s">
        <v>31</v>
      </c>
      <c r="U13" s="20"/>
      <c r="V13" s="49"/>
      <c r="W13" s="50" t="s">
        <v>19</v>
      </c>
      <c r="X13" s="15">
        <v>11.0</v>
      </c>
      <c r="Y13" s="22">
        <v>2.43720211E8</v>
      </c>
      <c r="Z13" s="22"/>
      <c r="AA13" s="40" t="s">
        <v>61</v>
      </c>
      <c r="AB13" s="18">
        <v>45607.0</v>
      </c>
      <c r="AC13" s="18">
        <v>45727.0</v>
      </c>
      <c r="AD13" s="24" t="s">
        <v>21</v>
      </c>
      <c r="AE13" s="25" t="s">
        <v>41</v>
      </c>
      <c r="AF13" s="20"/>
      <c r="AG13" s="49"/>
      <c r="AH13" s="43" t="s">
        <v>51</v>
      </c>
      <c r="AI13" s="51"/>
      <c r="AJ13" s="51"/>
      <c r="AK13" s="51"/>
      <c r="AL13" s="51"/>
      <c r="AM13" s="51"/>
    </row>
    <row r="14">
      <c r="A14" s="30">
        <v>12.0</v>
      </c>
      <c r="B14" s="33" t="s">
        <v>35</v>
      </c>
      <c r="C14" s="44">
        <v>2.42820112E8</v>
      </c>
      <c r="D14" s="52" t="s">
        <v>62</v>
      </c>
      <c r="E14" s="18">
        <v>45505.0</v>
      </c>
      <c r="F14" s="18">
        <v>45656.0</v>
      </c>
      <c r="G14" s="11" t="s">
        <v>17</v>
      </c>
      <c r="H14" s="46" t="s">
        <v>31</v>
      </c>
      <c r="I14" s="20"/>
      <c r="J14" s="20"/>
      <c r="M14" s="15">
        <v>12.0</v>
      </c>
      <c r="N14" s="22">
        <v>2.43520112E8</v>
      </c>
      <c r="O14" s="22"/>
      <c r="P14" s="39" t="s">
        <v>63</v>
      </c>
      <c r="Q14" s="18">
        <v>45555.0</v>
      </c>
      <c r="R14" s="18">
        <v>45708.0</v>
      </c>
      <c r="S14" s="24" t="s">
        <v>21</v>
      </c>
      <c r="T14" s="25" t="s">
        <v>31</v>
      </c>
      <c r="U14" s="20"/>
      <c r="V14" s="53"/>
      <c r="X14" s="15">
        <v>12.0</v>
      </c>
      <c r="Y14" s="22">
        <v>2.43720212E8</v>
      </c>
      <c r="Z14" s="22"/>
      <c r="AA14" s="40" t="s">
        <v>64</v>
      </c>
      <c r="AB14" s="18">
        <v>45607.0</v>
      </c>
      <c r="AC14" s="18">
        <v>45727.0</v>
      </c>
      <c r="AD14" s="24" t="s">
        <v>21</v>
      </c>
      <c r="AE14" s="25" t="s">
        <v>18</v>
      </c>
      <c r="AF14" s="20"/>
      <c r="AG14" s="53"/>
      <c r="AH14" s="43" t="s">
        <v>51</v>
      </c>
      <c r="AI14" s="54" t="s">
        <v>65</v>
      </c>
      <c r="AJ14" s="55"/>
      <c r="AK14" s="55"/>
      <c r="AL14" s="55"/>
      <c r="AM14" s="55"/>
    </row>
    <row r="15">
      <c r="A15" s="15">
        <v>13.0</v>
      </c>
      <c r="B15" s="44" t="s">
        <v>15</v>
      </c>
      <c r="C15" s="44">
        <v>2.42820113E8</v>
      </c>
      <c r="D15" s="52" t="s">
        <v>66</v>
      </c>
      <c r="E15" s="18">
        <v>45505.0</v>
      </c>
      <c r="F15" s="18">
        <v>45656.0</v>
      </c>
      <c r="G15" s="11" t="s">
        <v>17</v>
      </c>
      <c r="H15" s="46" t="s">
        <v>31</v>
      </c>
      <c r="I15" s="20"/>
      <c r="J15" s="20"/>
      <c r="M15" s="30">
        <v>13.0</v>
      </c>
      <c r="N15" s="22">
        <v>2.43520113E8</v>
      </c>
      <c r="O15" s="22"/>
      <c r="P15" s="39" t="s">
        <v>67</v>
      </c>
      <c r="Q15" s="18">
        <v>45555.0</v>
      </c>
      <c r="R15" s="18">
        <v>45708.0</v>
      </c>
      <c r="S15" s="24" t="s">
        <v>21</v>
      </c>
      <c r="T15" s="25" t="s">
        <v>31</v>
      </c>
      <c r="U15" s="20"/>
      <c r="V15" s="56"/>
      <c r="X15" s="30">
        <v>13.0</v>
      </c>
      <c r="Y15" s="22">
        <v>2.43720213E8</v>
      </c>
      <c r="Z15" s="22"/>
      <c r="AA15" s="40" t="s">
        <v>68</v>
      </c>
      <c r="AB15" s="18">
        <v>45607.0</v>
      </c>
      <c r="AC15" s="18">
        <v>45727.0</v>
      </c>
      <c r="AD15" s="24" t="s">
        <v>21</v>
      </c>
      <c r="AE15" s="25" t="s">
        <v>23</v>
      </c>
      <c r="AF15" s="20"/>
      <c r="AG15" s="56"/>
      <c r="AH15" s="28" t="s">
        <v>24</v>
      </c>
      <c r="AI15" s="57"/>
      <c r="AJ15" s="57"/>
      <c r="AK15" s="57"/>
      <c r="AL15" s="57"/>
      <c r="AM15" s="57"/>
    </row>
    <row r="16">
      <c r="A16" s="30">
        <v>14.0</v>
      </c>
      <c r="B16" s="44" t="s">
        <v>15</v>
      </c>
      <c r="C16" s="44">
        <v>2.42820114E8</v>
      </c>
      <c r="D16" s="52" t="s">
        <v>69</v>
      </c>
      <c r="E16" s="18">
        <v>45505.0</v>
      </c>
      <c r="F16" s="18">
        <v>45656.0</v>
      </c>
      <c r="G16" s="11" t="s">
        <v>56</v>
      </c>
      <c r="H16" s="46" t="s">
        <v>31</v>
      </c>
      <c r="I16" s="21"/>
      <c r="J16" s="20"/>
      <c r="M16" s="15">
        <v>14.0</v>
      </c>
      <c r="N16" s="22">
        <v>2.43520114E8</v>
      </c>
      <c r="O16" s="22"/>
      <c r="P16" s="39" t="s">
        <v>70</v>
      </c>
      <c r="Q16" s="18">
        <v>45555.0</v>
      </c>
      <c r="R16" s="18">
        <v>45708.0</v>
      </c>
      <c r="S16" s="24" t="s">
        <v>21</v>
      </c>
      <c r="T16" s="25" t="s">
        <v>31</v>
      </c>
      <c r="U16" s="21" t="s">
        <v>71</v>
      </c>
      <c r="V16" s="56"/>
      <c r="X16" s="15">
        <v>14.0</v>
      </c>
      <c r="Y16" s="22">
        <v>2.43720214E8</v>
      </c>
      <c r="Z16" s="22"/>
      <c r="AA16" s="40" t="s">
        <v>72</v>
      </c>
      <c r="AB16" s="18">
        <v>45607.0</v>
      </c>
      <c r="AC16" s="18">
        <v>45727.0</v>
      </c>
      <c r="AD16" s="24" t="s">
        <v>21</v>
      </c>
      <c r="AE16" s="25" t="s">
        <v>18</v>
      </c>
      <c r="AF16" s="30" t="s">
        <v>38</v>
      </c>
      <c r="AG16" s="56"/>
      <c r="AH16" s="43" t="s">
        <v>51</v>
      </c>
      <c r="AI16" s="57"/>
      <c r="AJ16" s="57"/>
      <c r="AK16" s="57"/>
      <c r="AL16" s="57"/>
      <c r="AM16" s="57"/>
    </row>
    <row r="17">
      <c r="A17" s="15">
        <v>15.0</v>
      </c>
      <c r="B17" s="44" t="s">
        <v>15</v>
      </c>
      <c r="C17" s="44">
        <v>2.42820115E8</v>
      </c>
      <c r="D17" s="48" t="s">
        <v>73</v>
      </c>
      <c r="E17" s="18">
        <v>45505.0</v>
      </c>
      <c r="F17" s="18">
        <v>45656.0</v>
      </c>
      <c r="G17" s="11" t="s">
        <v>17</v>
      </c>
      <c r="H17" s="46" t="s">
        <v>31</v>
      </c>
      <c r="I17" s="21"/>
      <c r="J17" s="21"/>
      <c r="M17" s="15">
        <v>15.0</v>
      </c>
      <c r="N17" s="22">
        <v>2.43520115E8</v>
      </c>
      <c r="O17" s="22"/>
      <c r="P17" s="39" t="s">
        <v>74</v>
      </c>
      <c r="Q17" s="18">
        <v>45555.0</v>
      </c>
      <c r="R17" s="18">
        <v>45708.0</v>
      </c>
      <c r="S17" s="24" t="s">
        <v>21</v>
      </c>
      <c r="T17" s="25" t="s">
        <v>31</v>
      </c>
      <c r="U17" s="21" t="s">
        <v>71</v>
      </c>
      <c r="V17" s="58"/>
      <c r="X17" s="15">
        <v>15.0</v>
      </c>
      <c r="Y17" s="22">
        <v>2.43720215E8</v>
      </c>
      <c r="Z17" s="22"/>
      <c r="AA17" s="27" t="s">
        <v>75</v>
      </c>
      <c r="AB17" s="18">
        <v>45607.0</v>
      </c>
      <c r="AC17" s="18">
        <v>45727.0</v>
      </c>
      <c r="AD17" s="24" t="s">
        <v>21</v>
      </c>
      <c r="AE17" s="25" t="s">
        <v>31</v>
      </c>
      <c r="AF17" s="21"/>
      <c r="AG17" s="58"/>
      <c r="AH17" s="43" t="s">
        <v>51</v>
      </c>
      <c r="AI17" s="59"/>
      <c r="AJ17" s="59"/>
      <c r="AK17" s="59"/>
      <c r="AL17" s="59"/>
      <c r="AM17" s="59"/>
    </row>
    <row r="18">
      <c r="A18" s="30">
        <v>16.0</v>
      </c>
      <c r="B18" s="60" t="s">
        <v>15</v>
      </c>
      <c r="C18" s="60">
        <v>2.42820116E8</v>
      </c>
      <c r="D18" s="61" t="s">
        <v>76</v>
      </c>
      <c r="E18" s="18">
        <v>45505.0</v>
      </c>
      <c r="F18" s="18">
        <v>45656.0</v>
      </c>
      <c r="G18" s="11" t="s">
        <v>56</v>
      </c>
      <c r="H18" s="19" t="s">
        <v>23</v>
      </c>
      <c r="I18" s="21" t="s">
        <v>77</v>
      </c>
      <c r="J18" s="21"/>
      <c r="M18" s="30">
        <v>16.0</v>
      </c>
      <c r="N18" s="22">
        <v>2.43520116E8</v>
      </c>
      <c r="O18" s="22"/>
      <c r="P18" s="62" t="s">
        <v>78</v>
      </c>
      <c r="Q18" s="18">
        <v>45555.0</v>
      </c>
      <c r="R18" s="18">
        <v>45708.0</v>
      </c>
      <c r="S18" s="24" t="s">
        <v>21</v>
      </c>
      <c r="T18" s="25" t="s">
        <v>50</v>
      </c>
      <c r="U18" s="20"/>
      <c r="V18" s="20"/>
      <c r="X18" s="30">
        <v>16.0</v>
      </c>
      <c r="Y18" s="22">
        <v>2.43720216E8</v>
      </c>
      <c r="Z18" s="22"/>
      <c r="AA18" s="27" t="s">
        <v>79</v>
      </c>
      <c r="AB18" s="18">
        <v>45607.0</v>
      </c>
      <c r="AC18" s="18">
        <v>45727.0</v>
      </c>
      <c r="AD18" s="24" t="s">
        <v>21</v>
      </c>
      <c r="AE18" s="25" t="s">
        <v>31</v>
      </c>
      <c r="AF18" s="20"/>
      <c r="AG18" s="20"/>
      <c r="AH18" s="43" t="s">
        <v>80</v>
      </c>
      <c r="AI18" s="32" t="s">
        <v>65</v>
      </c>
      <c r="AJ18" s="29"/>
      <c r="AK18" s="29"/>
      <c r="AL18" s="29"/>
      <c r="AM18" s="29"/>
    </row>
    <row r="19">
      <c r="A19" s="30">
        <v>17.0</v>
      </c>
      <c r="B19" s="63" t="s">
        <v>15</v>
      </c>
      <c r="C19" s="64">
        <v>2.42820117E8</v>
      </c>
      <c r="D19" s="64" t="s">
        <v>81</v>
      </c>
      <c r="E19" s="18">
        <v>45505.0</v>
      </c>
      <c r="F19" s="18">
        <v>45656.0</v>
      </c>
      <c r="G19" s="11" t="s">
        <v>56</v>
      </c>
      <c r="H19" s="46" t="s">
        <v>50</v>
      </c>
      <c r="I19" s="20"/>
      <c r="J19" s="20"/>
      <c r="M19" s="15">
        <v>17.0</v>
      </c>
      <c r="N19" s="22">
        <v>2.43520117E8</v>
      </c>
      <c r="O19" s="22"/>
      <c r="P19" s="65" t="s">
        <v>82</v>
      </c>
      <c r="Q19" s="18">
        <v>45555.0</v>
      </c>
      <c r="R19" s="18">
        <v>45708.0</v>
      </c>
      <c r="S19" s="24" t="s">
        <v>21</v>
      </c>
      <c r="T19" s="25" t="s">
        <v>50</v>
      </c>
      <c r="U19" s="20"/>
      <c r="V19" s="20"/>
      <c r="X19" s="15">
        <v>17.0</v>
      </c>
      <c r="Y19" s="22">
        <v>2.43720217E8</v>
      </c>
      <c r="Z19" s="22"/>
      <c r="AA19" s="40" t="s">
        <v>83</v>
      </c>
      <c r="AB19" s="18">
        <v>45607.0</v>
      </c>
      <c r="AC19" s="18">
        <v>45727.0</v>
      </c>
      <c r="AD19" s="24" t="s">
        <v>21</v>
      </c>
      <c r="AE19" s="25" t="s">
        <v>31</v>
      </c>
      <c r="AF19" s="20"/>
      <c r="AG19" s="20"/>
      <c r="AH19" s="28" t="s">
        <v>24</v>
      </c>
      <c r="AI19" s="29"/>
      <c r="AJ19" s="29"/>
      <c r="AK19" s="29"/>
      <c r="AL19" s="29"/>
      <c r="AM19" s="29"/>
    </row>
    <row r="20">
      <c r="A20" s="30">
        <v>18.0</v>
      </c>
      <c r="B20" s="33" t="s">
        <v>35</v>
      </c>
      <c r="C20" s="64">
        <v>2.42820118E8</v>
      </c>
      <c r="D20" s="64" t="s">
        <v>84</v>
      </c>
      <c r="E20" s="18">
        <v>45505.0</v>
      </c>
      <c r="F20" s="18">
        <v>45656.0</v>
      </c>
      <c r="G20" s="11" t="s">
        <v>17</v>
      </c>
      <c r="H20" s="46" t="s">
        <v>50</v>
      </c>
      <c r="I20" s="20"/>
      <c r="J20" s="20"/>
      <c r="M20" s="30">
        <v>18.0</v>
      </c>
      <c r="N20" s="22">
        <v>2.43520118E8</v>
      </c>
      <c r="O20" s="22"/>
      <c r="P20" s="66" t="s">
        <v>85</v>
      </c>
      <c r="Q20" s="18">
        <v>45555.0</v>
      </c>
      <c r="R20" s="18">
        <v>45708.0</v>
      </c>
      <c r="S20" s="24" t="s">
        <v>21</v>
      </c>
      <c r="T20" s="25" t="s">
        <v>23</v>
      </c>
      <c r="U20" s="21" t="s">
        <v>71</v>
      </c>
      <c r="V20" s="20"/>
      <c r="X20" s="30">
        <v>18.0</v>
      </c>
      <c r="Y20" s="22">
        <v>2.43720218E8</v>
      </c>
      <c r="Z20" s="22"/>
      <c r="AA20" s="27" t="s">
        <v>86</v>
      </c>
      <c r="AB20" s="18">
        <v>45607.0</v>
      </c>
      <c r="AC20" s="18">
        <v>45727.0</v>
      </c>
      <c r="AD20" s="24" t="s">
        <v>21</v>
      </c>
      <c r="AE20" s="25" t="s">
        <v>31</v>
      </c>
      <c r="AF20" s="21"/>
      <c r="AG20" s="20"/>
      <c r="AH20" s="28" t="s">
        <v>24</v>
      </c>
      <c r="AI20" s="29"/>
      <c r="AJ20" s="29"/>
      <c r="AK20" s="29"/>
      <c r="AL20" s="29"/>
      <c r="AM20" s="29"/>
    </row>
    <row r="21">
      <c r="A21" s="15">
        <v>19.0</v>
      </c>
      <c r="B21" s="33" t="s">
        <v>35</v>
      </c>
      <c r="C21" s="64">
        <v>2.42820119E8</v>
      </c>
      <c r="D21" s="64" t="s">
        <v>87</v>
      </c>
      <c r="E21" s="18">
        <v>45505.0</v>
      </c>
      <c r="F21" s="18">
        <v>45656.0</v>
      </c>
      <c r="G21" s="11" t="s">
        <v>17</v>
      </c>
      <c r="H21" s="46" t="s">
        <v>50</v>
      </c>
      <c r="I21" s="20"/>
      <c r="J21" s="20"/>
      <c r="M21" s="15">
        <v>19.0</v>
      </c>
      <c r="N21" s="22">
        <v>2.43520119E8</v>
      </c>
      <c r="O21" s="22"/>
      <c r="P21" s="66" t="s">
        <v>88</v>
      </c>
      <c r="Q21" s="18">
        <v>45555.0</v>
      </c>
      <c r="R21" s="18">
        <v>45708.0</v>
      </c>
      <c r="S21" s="24" t="s">
        <v>21</v>
      </c>
      <c r="T21" s="25" t="s">
        <v>23</v>
      </c>
      <c r="U21" s="21" t="s">
        <v>71</v>
      </c>
      <c r="V21" s="20"/>
      <c r="X21" s="15">
        <v>19.0</v>
      </c>
      <c r="Y21" s="22">
        <v>2.43720219E8</v>
      </c>
      <c r="Z21" s="22"/>
      <c r="AA21" s="27" t="s">
        <v>89</v>
      </c>
      <c r="AB21" s="18">
        <v>45607.0</v>
      </c>
      <c r="AC21" s="18">
        <v>45727.0</v>
      </c>
      <c r="AD21" s="24" t="s">
        <v>21</v>
      </c>
      <c r="AE21" s="25" t="s">
        <v>50</v>
      </c>
      <c r="AF21" s="21"/>
      <c r="AG21" s="20"/>
      <c r="AH21" s="43" t="s">
        <v>51</v>
      </c>
      <c r="AI21" s="29"/>
      <c r="AJ21" s="29"/>
      <c r="AK21" s="29"/>
      <c r="AL21" s="29"/>
      <c r="AM21" s="29"/>
    </row>
    <row r="22">
      <c r="A22" s="30">
        <v>20.0</v>
      </c>
      <c r="B22" s="67" t="s">
        <v>90</v>
      </c>
      <c r="C22" s="44">
        <v>2.4282012E8</v>
      </c>
      <c r="D22" s="48" t="s">
        <v>91</v>
      </c>
      <c r="E22" s="18">
        <v>45505.0</v>
      </c>
      <c r="F22" s="18">
        <v>45656.0</v>
      </c>
      <c r="G22" s="11" t="s">
        <v>17</v>
      </c>
      <c r="H22" s="46" t="s">
        <v>31</v>
      </c>
      <c r="I22" s="21" t="s">
        <v>71</v>
      </c>
      <c r="J22" s="21"/>
      <c r="M22" s="15">
        <v>20.0</v>
      </c>
      <c r="N22" s="22">
        <v>2.4352012E8</v>
      </c>
      <c r="O22" s="22"/>
      <c r="P22" s="66" t="s">
        <v>92</v>
      </c>
      <c r="Q22" s="18">
        <v>45555.0</v>
      </c>
      <c r="R22" s="18">
        <v>45708.0</v>
      </c>
      <c r="S22" s="24" t="s">
        <v>21</v>
      </c>
      <c r="T22" s="25" t="s">
        <v>23</v>
      </c>
      <c r="U22" s="20"/>
      <c r="V22" s="20"/>
      <c r="X22" s="15">
        <v>20.0</v>
      </c>
      <c r="Y22" s="22">
        <v>2.4372022E8</v>
      </c>
      <c r="Z22" s="22"/>
      <c r="AA22" s="27" t="s">
        <v>93</v>
      </c>
      <c r="AB22" s="18">
        <v>45607.0</v>
      </c>
      <c r="AC22" s="18">
        <v>45727.0</v>
      </c>
      <c r="AD22" s="24" t="s">
        <v>21</v>
      </c>
      <c r="AE22" s="25" t="s">
        <v>31</v>
      </c>
      <c r="AF22" s="21" t="s">
        <v>71</v>
      </c>
      <c r="AG22" s="20"/>
      <c r="AH22" s="68" t="s">
        <v>94</v>
      </c>
      <c r="AI22" s="28" t="s">
        <v>95</v>
      </c>
      <c r="AJ22" s="29"/>
      <c r="AK22" s="29"/>
      <c r="AL22" s="29"/>
      <c r="AM22" s="29"/>
    </row>
    <row r="23">
      <c r="A23" s="15">
        <v>21.0</v>
      </c>
      <c r="B23" s="60" t="s">
        <v>15</v>
      </c>
      <c r="C23" s="60">
        <v>2.42820121E8</v>
      </c>
      <c r="D23" s="61" t="s">
        <v>96</v>
      </c>
      <c r="E23" s="18">
        <v>45505.0</v>
      </c>
      <c r="F23" s="18">
        <v>45656.0</v>
      </c>
      <c r="G23" s="11" t="s">
        <v>56</v>
      </c>
      <c r="H23" s="19" t="s">
        <v>23</v>
      </c>
      <c r="I23" s="21"/>
      <c r="J23" s="21"/>
      <c r="M23" s="30">
        <v>21.0</v>
      </c>
      <c r="N23" s="22">
        <v>2.43520121E8</v>
      </c>
      <c r="O23" s="22"/>
      <c r="P23" s="66" t="s">
        <v>97</v>
      </c>
      <c r="Q23" s="18">
        <v>45555.0</v>
      </c>
      <c r="R23" s="18">
        <v>45708.0</v>
      </c>
      <c r="S23" s="24" t="s">
        <v>21</v>
      </c>
      <c r="T23" s="25" t="s">
        <v>23</v>
      </c>
      <c r="U23" s="20"/>
      <c r="V23" s="20"/>
      <c r="X23" s="30">
        <v>21.0</v>
      </c>
      <c r="Y23" s="22">
        <v>2.43720221E8</v>
      </c>
      <c r="Z23" s="22"/>
      <c r="AA23" s="27" t="s">
        <v>98</v>
      </c>
      <c r="AB23" s="18">
        <v>45607.0</v>
      </c>
      <c r="AC23" s="18">
        <v>45727.0</v>
      </c>
      <c r="AD23" s="24" t="s">
        <v>21</v>
      </c>
      <c r="AE23" s="25" t="s">
        <v>31</v>
      </c>
      <c r="AF23" s="21" t="s">
        <v>71</v>
      </c>
      <c r="AG23" s="20"/>
      <c r="AH23" s="43" t="s">
        <v>51</v>
      </c>
      <c r="AI23" s="69" t="s">
        <v>99</v>
      </c>
      <c r="AJ23" s="70"/>
      <c r="AK23" s="29"/>
      <c r="AL23" s="29"/>
      <c r="AM23" s="29"/>
    </row>
    <row r="24">
      <c r="A24" s="30">
        <v>22.0</v>
      </c>
      <c r="B24" s="60" t="s">
        <v>15</v>
      </c>
      <c r="C24" s="60">
        <v>2.42820122E8</v>
      </c>
      <c r="D24" s="71" t="s">
        <v>100</v>
      </c>
      <c r="E24" s="18">
        <v>45505.0</v>
      </c>
      <c r="F24" s="18">
        <v>45656.0</v>
      </c>
      <c r="G24" s="11" t="s">
        <v>56</v>
      </c>
      <c r="H24" s="19" t="s">
        <v>23</v>
      </c>
      <c r="I24" s="21"/>
      <c r="J24" s="21"/>
      <c r="M24" s="15">
        <v>22.0</v>
      </c>
      <c r="N24" s="22">
        <v>2.43520122E8</v>
      </c>
      <c r="O24" s="22"/>
      <c r="P24" s="66" t="s">
        <v>101</v>
      </c>
      <c r="Q24" s="18">
        <v>45555.0</v>
      </c>
      <c r="R24" s="18">
        <v>45708.0</v>
      </c>
      <c r="S24" s="24" t="s">
        <v>21</v>
      </c>
      <c r="T24" s="25" t="s">
        <v>23</v>
      </c>
      <c r="U24" s="20"/>
      <c r="V24" s="20"/>
      <c r="X24" s="15">
        <v>22.0</v>
      </c>
      <c r="Y24" s="22">
        <v>2.43720222E8</v>
      </c>
      <c r="Z24" s="22"/>
      <c r="AA24" s="27" t="s">
        <v>102</v>
      </c>
      <c r="AB24" s="18">
        <v>45607.0</v>
      </c>
      <c r="AC24" s="18">
        <v>45727.0</v>
      </c>
      <c r="AD24" s="24" t="s">
        <v>21</v>
      </c>
      <c r="AE24" s="25" t="s">
        <v>31</v>
      </c>
      <c r="AF24" s="21" t="s">
        <v>71</v>
      </c>
      <c r="AG24" s="20"/>
      <c r="AH24" s="68" t="s">
        <v>94</v>
      </c>
      <c r="AI24" s="28" t="s">
        <v>95</v>
      </c>
      <c r="AJ24" s="29"/>
      <c r="AK24" s="29"/>
      <c r="AL24" s="29"/>
      <c r="AM24" s="29"/>
    </row>
    <row r="25">
      <c r="A25" s="15">
        <v>23.0</v>
      </c>
      <c r="B25" s="60" t="s">
        <v>15</v>
      </c>
      <c r="C25" s="60">
        <v>2.42820123E8</v>
      </c>
      <c r="D25" s="71" t="s">
        <v>103</v>
      </c>
      <c r="E25" s="18">
        <v>45505.0</v>
      </c>
      <c r="F25" s="18">
        <v>45656.0</v>
      </c>
      <c r="G25" s="11" t="s">
        <v>56</v>
      </c>
      <c r="H25" s="19" t="s">
        <v>23</v>
      </c>
      <c r="I25" s="21"/>
      <c r="J25" s="21"/>
      <c r="M25" s="15">
        <v>23.0</v>
      </c>
      <c r="N25" s="22">
        <v>2.43520123E8</v>
      </c>
      <c r="O25" s="22"/>
      <c r="P25" s="66" t="s">
        <v>104</v>
      </c>
      <c r="Q25" s="18">
        <v>45555.0</v>
      </c>
      <c r="R25" s="18">
        <v>45708.0</v>
      </c>
      <c r="S25" s="24" t="s">
        <v>21</v>
      </c>
      <c r="T25" s="25" t="s">
        <v>23</v>
      </c>
      <c r="U25" s="20"/>
      <c r="V25" s="20"/>
      <c r="X25" s="15">
        <v>23.0</v>
      </c>
      <c r="Y25" s="22">
        <v>2.43720223E8</v>
      </c>
      <c r="Z25" s="22"/>
      <c r="AA25" s="27" t="s">
        <v>105</v>
      </c>
      <c r="AB25" s="18">
        <v>45607.0</v>
      </c>
      <c r="AC25" s="18">
        <v>45727.0</v>
      </c>
      <c r="AD25" s="24" t="s">
        <v>21</v>
      </c>
      <c r="AE25" s="25" t="s">
        <v>23</v>
      </c>
      <c r="AF25" s="20"/>
      <c r="AG25" s="20"/>
      <c r="AH25" s="28" t="s">
        <v>24</v>
      </c>
      <c r="AI25" s="29"/>
      <c r="AJ25" s="29"/>
      <c r="AK25" s="29"/>
      <c r="AL25" s="29"/>
      <c r="AM25" s="29"/>
    </row>
    <row r="26">
      <c r="A26" s="30">
        <v>24.0</v>
      </c>
      <c r="B26" s="60" t="s">
        <v>15</v>
      </c>
      <c r="C26" s="60">
        <v>2.42820124E8</v>
      </c>
      <c r="D26" s="71" t="s">
        <v>106</v>
      </c>
      <c r="E26" s="18">
        <v>45506.0</v>
      </c>
      <c r="F26" s="18">
        <v>45656.0</v>
      </c>
      <c r="G26" s="11" t="s">
        <v>56</v>
      </c>
      <c r="H26" s="19" t="s">
        <v>23</v>
      </c>
      <c r="I26" s="20"/>
      <c r="J26" s="20"/>
      <c r="M26" s="15">
        <v>24.0</v>
      </c>
      <c r="N26" s="22">
        <v>2.43520124E8</v>
      </c>
      <c r="O26" s="22"/>
      <c r="P26" s="66" t="s">
        <v>107</v>
      </c>
      <c r="Q26" s="18">
        <v>45555.0</v>
      </c>
      <c r="R26" s="18">
        <v>45708.0</v>
      </c>
      <c r="S26" s="24" t="s">
        <v>21</v>
      </c>
      <c r="T26" s="25" t="s">
        <v>23</v>
      </c>
      <c r="U26" s="20"/>
      <c r="V26" s="20"/>
      <c r="X26" s="15">
        <v>24.0</v>
      </c>
      <c r="Y26" s="22">
        <v>2.43720224E8</v>
      </c>
      <c r="Z26" s="22"/>
      <c r="AA26" s="27" t="s">
        <v>108</v>
      </c>
      <c r="AB26" s="18">
        <v>45607.0</v>
      </c>
      <c r="AC26" s="18">
        <v>45727.0</v>
      </c>
      <c r="AD26" s="24" t="s">
        <v>21</v>
      </c>
      <c r="AE26" s="25" t="s">
        <v>23</v>
      </c>
      <c r="AF26" s="20"/>
      <c r="AG26" s="20"/>
      <c r="AH26" s="43" t="s">
        <v>51</v>
      </c>
      <c r="AI26" s="32" t="s">
        <v>65</v>
      </c>
      <c r="AJ26" s="29"/>
      <c r="AK26" s="29"/>
      <c r="AL26" s="29"/>
      <c r="AM26" s="29"/>
    </row>
    <row r="27">
      <c r="A27" s="15">
        <v>25.0</v>
      </c>
      <c r="B27" s="60" t="s">
        <v>15</v>
      </c>
      <c r="C27" s="60">
        <v>2.42820125E8</v>
      </c>
      <c r="D27" s="72" t="s">
        <v>109</v>
      </c>
      <c r="E27" s="18">
        <v>45507.0</v>
      </c>
      <c r="F27" s="18">
        <v>45656.0</v>
      </c>
      <c r="G27" s="11" t="s">
        <v>56</v>
      </c>
      <c r="H27" s="19" t="s">
        <v>23</v>
      </c>
      <c r="I27" s="20"/>
      <c r="J27" s="20"/>
      <c r="M27" s="30">
        <v>25.0</v>
      </c>
      <c r="N27" s="22">
        <v>2.43520125E8</v>
      </c>
      <c r="O27" s="22"/>
      <c r="P27" s="66" t="s">
        <v>110</v>
      </c>
      <c r="Q27" s="18">
        <v>45555.0</v>
      </c>
      <c r="R27" s="18">
        <v>45708.0</v>
      </c>
      <c r="S27" s="24" t="s">
        <v>21</v>
      </c>
      <c r="T27" s="25" t="s">
        <v>23</v>
      </c>
      <c r="U27" s="20"/>
      <c r="V27" s="20"/>
      <c r="X27" s="30">
        <v>25.0</v>
      </c>
      <c r="Y27" s="22">
        <v>2.43720225E8</v>
      </c>
      <c r="Z27" s="22"/>
      <c r="AA27" s="27" t="s">
        <v>111</v>
      </c>
      <c r="AB27" s="18">
        <v>45607.0</v>
      </c>
      <c r="AC27" s="18">
        <v>45727.0</v>
      </c>
      <c r="AD27" s="24" t="s">
        <v>21</v>
      </c>
      <c r="AE27" s="25" t="s">
        <v>31</v>
      </c>
      <c r="AF27" s="21" t="s">
        <v>71</v>
      </c>
      <c r="AG27" s="20"/>
      <c r="AH27" s="28" t="s">
        <v>24</v>
      </c>
      <c r="AI27" s="29"/>
      <c r="AJ27" s="29"/>
      <c r="AK27" s="29"/>
      <c r="AL27" s="29"/>
      <c r="AM27" s="29"/>
    </row>
    <row r="28">
      <c r="A28" s="30">
        <v>26.0</v>
      </c>
      <c r="B28" s="60" t="s">
        <v>15</v>
      </c>
      <c r="C28" s="60">
        <v>2.42820126E8</v>
      </c>
      <c r="D28" s="61" t="s">
        <v>112</v>
      </c>
      <c r="E28" s="18">
        <v>45505.0</v>
      </c>
      <c r="F28" s="18">
        <v>45656.0</v>
      </c>
      <c r="G28" s="11" t="s">
        <v>56</v>
      </c>
      <c r="H28" s="19" t="s">
        <v>23</v>
      </c>
      <c r="I28" s="20"/>
      <c r="J28" s="20"/>
      <c r="M28" s="15">
        <v>26.0</v>
      </c>
      <c r="N28" s="22">
        <v>2.43520126E8</v>
      </c>
      <c r="O28" s="22"/>
      <c r="P28" s="66" t="s">
        <v>113</v>
      </c>
      <c r="Q28" s="18">
        <v>45555.0</v>
      </c>
      <c r="R28" s="18">
        <v>45708.0</v>
      </c>
      <c r="S28" s="24" t="s">
        <v>21</v>
      </c>
      <c r="T28" s="25" t="s">
        <v>23</v>
      </c>
      <c r="U28" s="20"/>
      <c r="V28" s="20"/>
      <c r="X28" s="73"/>
      <c r="Y28" s="74"/>
      <c r="Z28" s="74"/>
      <c r="AA28" s="75"/>
      <c r="AB28" s="76"/>
      <c r="AC28" s="76"/>
      <c r="AD28" s="77"/>
      <c r="AE28" s="78"/>
      <c r="AF28" s="59"/>
      <c r="AG28" s="59"/>
      <c r="AH28" s="29"/>
      <c r="AI28" s="29"/>
      <c r="AJ28" s="29"/>
      <c r="AK28" s="29"/>
      <c r="AL28" s="29"/>
      <c r="AM28" s="29"/>
    </row>
    <row r="29">
      <c r="A29" s="15">
        <v>27.0</v>
      </c>
      <c r="B29" s="44" t="s">
        <v>15</v>
      </c>
      <c r="C29" s="79">
        <v>2.42820127E8</v>
      </c>
      <c r="D29" s="80" t="s">
        <v>114</v>
      </c>
      <c r="E29" s="18">
        <v>45505.0</v>
      </c>
      <c r="F29" s="18">
        <v>45656.0</v>
      </c>
      <c r="G29" s="11" t="s">
        <v>17</v>
      </c>
      <c r="H29" s="46" t="s">
        <v>31</v>
      </c>
      <c r="I29" s="20"/>
      <c r="J29" s="20"/>
      <c r="M29" s="30">
        <v>27.0</v>
      </c>
      <c r="N29" s="22">
        <v>2.43520127E8</v>
      </c>
      <c r="O29" s="22"/>
      <c r="P29" s="66" t="s">
        <v>115</v>
      </c>
      <c r="Q29" s="18">
        <v>45555.0</v>
      </c>
      <c r="R29" s="18">
        <v>45708.0</v>
      </c>
      <c r="S29" s="24" t="s">
        <v>21</v>
      </c>
      <c r="T29" s="25" t="s">
        <v>23</v>
      </c>
      <c r="U29" s="20"/>
      <c r="V29" s="20"/>
      <c r="X29" s="81"/>
      <c r="Y29" s="74"/>
      <c r="Z29" s="74"/>
      <c r="AA29" s="75"/>
      <c r="AB29" s="76"/>
      <c r="AC29" s="76"/>
      <c r="AD29" s="77"/>
      <c r="AE29" s="78"/>
      <c r="AF29" s="59"/>
      <c r="AG29" s="59"/>
      <c r="AH29" s="29"/>
      <c r="AI29" s="29"/>
      <c r="AJ29" s="29"/>
      <c r="AK29" s="29"/>
      <c r="AL29" s="29"/>
      <c r="AM29" s="29"/>
    </row>
    <row r="30">
      <c r="A30" s="30">
        <v>28.0</v>
      </c>
      <c r="B30" s="60" t="s">
        <v>15</v>
      </c>
      <c r="C30" s="60">
        <v>2.42820128E8</v>
      </c>
      <c r="D30" s="72" t="s">
        <v>116</v>
      </c>
      <c r="E30" s="18">
        <v>45505.0</v>
      </c>
      <c r="F30" s="18">
        <v>45656.0</v>
      </c>
      <c r="G30" s="11" t="s">
        <v>56</v>
      </c>
      <c r="H30" s="19" t="s">
        <v>23</v>
      </c>
      <c r="I30" s="21" t="s">
        <v>71</v>
      </c>
      <c r="J30" s="21"/>
      <c r="M30" s="15">
        <v>28.0</v>
      </c>
      <c r="N30" s="22">
        <v>2.43520128E8</v>
      </c>
      <c r="O30" s="22"/>
      <c r="P30" s="66" t="s">
        <v>117</v>
      </c>
      <c r="Q30" s="18">
        <v>45555.0</v>
      </c>
      <c r="R30" s="18">
        <v>45708.0</v>
      </c>
      <c r="S30" s="24" t="s">
        <v>21</v>
      </c>
      <c r="T30" s="25" t="s">
        <v>23</v>
      </c>
      <c r="U30" s="20"/>
      <c r="V30" s="20"/>
      <c r="X30" s="82" t="s">
        <v>118</v>
      </c>
      <c r="Y30" s="2"/>
      <c r="Z30" s="2"/>
      <c r="AA30" s="5"/>
      <c r="AB30" s="83" t="s">
        <v>18</v>
      </c>
      <c r="AC30" s="84" t="s">
        <v>41</v>
      </c>
      <c r="AD30" s="85" t="s">
        <v>31</v>
      </c>
      <c r="AE30" s="86" t="s">
        <v>50</v>
      </c>
      <c r="AF30" s="87" t="s">
        <v>119</v>
      </c>
      <c r="AG30" s="88" t="s">
        <v>120</v>
      </c>
      <c r="AH30" s="29"/>
      <c r="AI30" s="29"/>
      <c r="AJ30" s="29"/>
      <c r="AK30" s="29"/>
      <c r="AL30" s="29"/>
      <c r="AM30" s="29"/>
    </row>
    <row r="31">
      <c r="A31" s="15">
        <v>29.0</v>
      </c>
      <c r="B31" s="60" t="s">
        <v>15</v>
      </c>
      <c r="C31" s="60">
        <v>2.42820129E8</v>
      </c>
      <c r="D31" s="72" t="s">
        <v>121</v>
      </c>
      <c r="E31" s="18">
        <v>45505.0</v>
      </c>
      <c r="F31" s="18">
        <v>45656.0</v>
      </c>
      <c r="G31" s="11" t="s">
        <v>56</v>
      </c>
      <c r="H31" s="19" t="s">
        <v>23</v>
      </c>
      <c r="I31" s="21" t="s">
        <v>71</v>
      </c>
      <c r="J31" s="21"/>
      <c r="M31" s="30">
        <v>29.0</v>
      </c>
      <c r="N31" s="22">
        <v>2.43520129E8</v>
      </c>
      <c r="O31" s="22"/>
      <c r="P31" s="66" t="s">
        <v>122</v>
      </c>
      <c r="Q31" s="18">
        <v>45555.0</v>
      </c>
      <c r="R31" s="18">
        <v>45708.0</v>
      </c>
      <c r="S31" s="24" t="s">
        <v>21</v>
      </c>
      <c r="T31" s="25" t="s">
        <v>23</v>
      </c>
      <c r="U31" s="20"/>
      <c r="V31" s="20"/>
      <c r="X31" s="89" t="s">
        <v>123</v>
      </c>
      <c r="Y31" s="2"/>
      <c r="Z31" s="2"/>
      <c r="AA31" s="5"/>
      <c r="AB31" s="90">
        <v>4.0</v>
      </c>
      <c r="AC31" s="90">
        <v>2.0</v>
      </c>
      <c r="AD31" s="90">
        <v>7.0</v>
      </c>
      <c r="AE31" s="90">
        <v>6.0</v>
      </c>
      <c r="AF31" s="90">
        <v>6.0</v>
      </c>
      <c r="AG31" s="91">
        <v>25.0</v>
      </c>
      <c r="AH31" s="29"/>
      <c r="AI31" s="29"/>
      <c r="AJ31" s="29"/>
      <c r="AK31" s="29"/>
      <c r="AL31" s="29"/>
      <c r="AM31" s="29"/>
    </row>
    <row r="32">
      <c r="A32" s="30">
        <v>30.0</v>
      </c>
      <c r="B32" s="60" t="s">
        <v>15</v>
      </c>
      <c r="C32" s="60">
        <v>2.4282013E8</v>
      </c>
      <c r="D32" s="71" t="s">
        <v>124</v>
      </c>
      <c r="E32" s="18">
        <v>45505.0</v>
      </c>
      <c r="F32" s="18">
        <v>45656.0</v>
      </c>
      <c r="G32" s="11" t="s">
        <v>56</v>
      </c>
      <c r="H32" s="19" t="s">
        <v>23</v>
      </c>
      <c r="I32" s="21" t="s">
        <v>71</v>
      </c>
      <c r="J32" s="21"/>
      <c r="M32" s="15">
        <v>30.0</v>
      </c>
      <c r="N32" s="22">
        <v>2.4352013E8</v>
      </c>
      <c r="O32" s="22"/>
      <c r="P32" s="66" t="s">
        <v>125</v>
      </c>
      <c r="Q32" s="18">
        <v>45555.0</v>
      </c>
      <c r="R32" s="18">
        <v>45708.0</v>
      </c>
      <c r="S32" s="24" t="s">
        <v>21</v>
      </c>
      <c r="T32" s="25" t="s">
        <v>23</v>
      </c>
      <c r="U32" s="20"/>
      <c r="V32" s="20"/>
      <c r="X32" s="92" t="s">
        <v>126</v>
      </c>
      <c r="Y32" s="2"/>
      <c r="Z32" s="2"/>
      <c r="AA32" s="5"/>
      <c r="AB32" s="91">
        <v>5.0</v>
      </c>
      <c r="AC32" s="91">
        <v>1.0</v>
      </c>
      <c r="AD32" s="91">
        <v>11.0</v>
      </c>
      <c r="AE32" s="91">
        <v>2.0</v>
      </c>
      <c r="AF32" s="91">
        <v>6.0</v>
      </c>
      <c r="AG32" s="49">
        <f t="shared" ref="AG32:AG33" si="2">AB32+AC32+AD32+AE32+AF32</f>
        <v>25</v>
      </c>
      <c r="AH32" s="29"/>
      <c r="AI32" s="29"/>
      <c r="AJ32" s="29"/>
      <c r="AK32" s="29"/>
      <c r="AL32" s="29"/>
      <c r="AM32" s="29"/>
    </row>
    <row r="33">
      <c r="B33" s="93"/>
      <c r="C33" s="93"/>
      <c r="E33" s="94"/>
      <c r="F33" s="95"/>
      <c r="G33" s="59"/>
      <c r="H33" s="29"/>
      <c r="I33" s="29"/>
      <c r="J33" s="29"/>
      <c r="N33" s="93"/>
      <c r="O33" s="93"/>
      <c r="Q33" s="94"/>
      <c r="R33" s="95"/>
      <c r="S33" s="59"/>
      <c r="T33" s="29"/>
      <c r="U33" s="29"/>
      <c r="V33" s="29"/>
      <c r="X33" s="89" t="s">
        <v>127</v>
      </c>
      <c r="Y33" s="2"/>
      <c r="Z33" s="2"/>
      <c r="AA33" s="5"/>
      <c r="AB33" s="91">
        <f t="shared" ref="AB33:AF33" si="1">AB32-AB31</f>
        <v>1</v>
      </c>
      <c r="AC33" s="91">
        <f t="shared" si="1"/>
        <v>-1</v>
      </c>
      <c r="AD33" s="91">
        <f t="shared" si="1"/>
        <v>4</v>
      </c>
      <c r="AE33" s="91">
        <f t="shared" si="1"/>
        <v>-4</v>
      </c>
      <c r="AF33" s="91">
        <f t="shared" si="1"/>
        <v>0</v>
      </c>
      <c r="AG33" s="91">
        <f t="shared" si="2"/>
        <v>0</v>
      </c>
    </row>
    <row r="34">
      <c r="A34" s="96" t="s">
        <v>118</v>
      </c>
      <c r="B34" s="97"/>
      <c r="C34" s="97"/>
      <c r="D34" s="98"/>
      <c r="E34" s="99" t="s">
        <v>18</v>
      </c>
      <c r="F34" s="100" t="s">
        <v>41</v>
      </c>
      <c r="G34" s="101" t="s">
        <v>31</v>
      </c>
      <c r="H34" s="102" t="s">
        <v>50</v>
      </c>
      <c r="I34" s="103" t="s">
        <v>119</v>
      </c>
      <c r="J34" s="104" t="s">
        <v>120</v>
      </c>
      <c r="M34" s="82" t="s">
        <v>118</v>
      </c>
      <c r="N34" s="2"/>
      <c r="O34" s="2"/>
      <c r="P34" s="5"/>
      <c r="Q34" s="83" t="s">
        <v>18</v>
      </c>
      <c r="R34" s="84" t="s">
        <v>41</v>
      </c>
      <c r="S34" s="85" t="s">
        <v>31</v>
      </c>
      <c r="T34" s="86" t="s">
        <v>50</v>
      </c>
      <c r="U34" s="87" t="s">
        <v>119</v>
      </c>
      <c r="V34" s="88" t="s">
        <v>120</v>
      </c>
    </row>
    <row r="35">
      <c r="A35" s="105" t="s">
        <v>128</v>
      </c>
      <c r="B35" s="97"/>
      <c r="C35" s="97"/>
      <c r="D35" s="106"/>
      <c r="E35" s="107">
        <v>5.0</v>
      </c>
      <c r="F35" s="107">
        <v>3.0</v>
      </c>
      <c r="G35" s="107">
        <v>8.0</v>
      </c>
      <c r="H35" s="107">
        <v>7.0</v>
      </c>
      <c r="I35" s="107">
        <v>7.0</v>
      </c>
      <c r="J35" s="107">
        <f t="shared" ref="J35:J36" si="3">E35+F35+G35+H35+I35</f>
        <v>30</v>
      </c>
      <c r="M35" s="92" t="s">
        <v>128</v>
      </c>
      <c r="N35" s="2"/>
      <c r="O35" s="2"/>
      <c r="P35" s="5"/>
      <c r="Q35" s="107">
        <v>5.0</v>
      </c>
      <c r="R35" s="107">
        <v>3.0</v>
      </c>
      <c r="S35" s="107">
        <v>8.0</v>
      </c>
      <c r="T35" s="107">
        <v>7.0</v>
      </c>
      <c r="U35" s="107">
        <v>7.0</v>
      </c>
      <c r="V35" s="49">
        <f t="shared" ref="V35:V37" si="4">Q35+R35+S35+T35+U35</f>
        <v>30</v>
      </c>
    </row>
    <row r="36">
      <c r="A36" s="105" t="s">
        <v>126</v>
      </c>
      <c r="B36" s="97"/>
      <c r="C36" s="97"/>
      <c r="D36" s="106"/>
      <c r="E36" s="90">
        <v>5.0</v>
      </c>
      <c r="F36" s="90">
        <v>3.0</v>
      </c>
      <c r="G36" s="90">
        <v>9.0</v>
      </c>
      <c r="H36" s="90">
        <v>3.0</v>
      </c>
      <c r="I36" s="90">
        <v>10.0</v>
      </c>
      <c r="J36" s="107">
        <f t="shared" si="3"/>
        <v>30</v>
      </c>
      <c r="M36" s="92" t="s">
        <v>126</v>
      </c>
      <c r="N36" s="2"/>
      <c r="O36" s="2"/>
      <c r="P36" s="5"/>
      <c r="Q36" s="91">
        <v>6.0</v>
      </c>
      <c r="R36" s="91">
        <v>0.0</v>
      </c>
      <c r="S36" s="91">
        <v>9.0</v>
      </c>
      <c r="T36" s="91">
        <v>2.0</v>
      </c>
      <c r="U36" s="91">
        <v>13.0</v>
      </c>
      <c r="V36" s="49">
        <f t="shared" si="4"/>
        <v>30</v>
      </c>
      <c r="X36" s="4" t="s">
        <v>2</v>
      </c>
      <c r="Y36" s="2"/>
      <c r="Z36" s="2"/>
      <c r="AA36" s="2"/>
      <c r="AB36" s="2"/>
      <c r="AC36" s="2"/>
      <c r="AD36" s="2"/>
      <c r="AE36" s="3"/>
      <c r="AF36" s="3"/>
      <c r="AG36" s="108"/>
      <c r="AH36" s="109" t="s">
        <v>129</v>
      </c>
      <c r="AI36" s="2"/>
      <c r="AJ36" s="2"/>
      <c r="AK36" s="2"/>
      <c r="AL36" s="2"/>
      <c r="AM36" s="5"/>
    </row>
    <row r="37">
      <c r="M37" s="89" t="s">
        <v>127</v>
      </c>
      <c r="N37" s="2"/>
      <c r="O37" s="2"/>
      <c r="P37" s="5"/>
      <c r="Q37" s="91">
        <f t="shared" ref="Q37:U37" si="5">Q36-Q35</f>
        <v>1</v>
      </c>
      <c r="R37" s="91">
        <f t="shared" si="5"/>
        <v>-3</v>
      </c>
      <c r="S37" s="91">
        <f t="shared" si="5"/>
        <v>1</v>
      </c>
      <c r="T37" s="91">
        <f t="shared" si="5"/>
        <v>-5</v>
      </c>
      <c r="U37" s="91">
        <f t="shared" si="5"/>
        <v>6</v>
      </c>
      <c r="V37" s="91">
        <f t="shared" si="4"/>
        <v>0</v>
      </c>
      <c r="X37" s="13" t="s">
        <v>13</v>
      </c>
      <c r="Y37" s="2"/>
      <c r="Z37" s="2"/>
      <c r="AA37" s="5"/>
      <c r="AB37" s="10" t="s">
        <v>130</v>
      </c>
      <c r="AC37" s="5"/>
      <c r="AD37" s="11" t="s">
        <v>12</v>
      </c>
      <c r="AE37" s="12" t="s">
        <v>7</v>
      </c>
      <c r="AF37" s="12" t="s">
        <v>8</v>
      </c>
      <c r="AG37" s="12" t="s">
        <v>9</v>
      </c>
      <c r="AH37" s="110" t="s">
        <v>131</v>
      </c>
      <c r="AI37" s="110" t="s">
        <v>132</v>
      </c>
      <c r="AJ37" s="110" t="s">
        <v>133</v>
      </c>
      <c r="AK37" s="110" t="s">
        <v>134</v>
      </c>
      <c r="AL37" s="110" t="s">
        <v>135</v>
      </c>
      <c r="AM37" s="110" t="s">
        <v>50</v>
      </c>
    </row>
    <row r="38">
      <c r="A38" s="4" t="s">
        <v>0</v>
      </c>
      <c r="B38" s="2"/>
      <c r="C38" s="2"/>
      <c r="D38" s="2"/>
      <c r="E38" s="2"/>
      <c r="F38" s="2"/>
      <c r="G38" s="2"/>
      <c r="H38" s="2"/>
      <c r="I38" s="2"/>
      <c r="J38" s="2"/>
      <c r="P38" s="111"/>
      <c r="X38" s="26">
        <v>1.0</v>
      </c>
      <c r="Y38" s="22">
        <v>2.43720301E8</v>
      </c>
      <c r="Z38" s="22"/>
      <c r="AA38" s="40" t="s">
        <v>136</v>
      </c>
      <c r="AB38" s="18">
        <v>45698.0</v>
      </c>
      <c r="AC38" s="18">
        <v>45847.0</v>
      </c>
      <c r="AD38" s="24" t="s">
        <v>21</v>
      </c>
      <c r="AE38" s="25" t="s">
        <v>18</v>
      </c>
      <c r="AF38" s="20"/>
      <c r="AG38" s="20"/>
      <c r="AH38" s="50" t="b">
        <v>1</v>
      </c>
      <c r="AI38" s="50" t="b">
        <v>1</v>
      </c>
      <c r="AJ38" s="50" t="b">
        <v>1</v>
      </c>
      <c r="AK38" s="50" t="b">
        <v>1</v>
      </c>
      <c r="AL38" s="50" t="b">
        <v>1</v>
      </c>
      <c r="AM38" s="112" t="b">
        <v>0</v>
      </c>
    </row>
    <row r="39">
      <c r="A39" s="8" t="s">
        <v>10</v>
      </c>
      <c r="B39" s="9"/>
      <c r="C39" s="9"/>
      <c r="D39" s="9"/>
      <c r="E39" s="11" t="s">
        <v>137</v>
      </c>
      <c r="F39" s="9"/>
      <c r="G39" s="11" t="s">
        <v>12</v>
      </c>
      <c r="H39" s="12" t="s">
        <v>7</v>
      </c>
      <c r="I39" s="12" t="s">
        <v>8</v>
      </c>
      <c r="J39" s="12" t="s">
        <v>9</v>
      </c>
      <c r="P39" s="111"/>
      <c r="X39" s="30">
        <v>2.0</v>
      </c>
      <c r="Y39" s="22">
        <v>2.43720302E8</v>
      </c>
      <c r="Z39" s="22"/>
      <c r="AA39" s="40" t="s">
        <v>138</v>
      </c>
      <c r="AB39" s="18">
        <v>45698.0</v>
      </c>
      <c r="AC39" s="18">
        <v>45847.0</v>
      </c>
      <c r="AD39" s="24" t="s">
        <v>21</v>
      </c>
      <c r="AE39" s="25" t="s">
        <v>18</v>
      </c>
      <c r="AF39" s="20"/>
      <c r="AG39" s="20"/>
      <c r="AH39" s="50" t="b">
        <v>1</v>
      </c>
      <c r="AI39" s="50" t="b">
        <v>1</v>
      </c>
      <c r="AJ39" s="50" t="b">
        <v>1</v>
      </c>
      <c r="AK39" s="50" t="b">
        <v>1</v>
      </c>
      <c r="AL39" s="50" t="b">
        <v>1</v>
      </c>
      <c r="AM39" s="112" t="b">
        <v>0</v>
      </c>
    </row>
    <row r="40">
      <c r="A40" s="15">
        <v>1.0</v>
      </c>
      <c r="B40" s="16" t="s">
        <v>15</v>
      </c>
      <c r="C40" s="22">
        <v>2.42820201E8</v>
      </c>
      <c r="D40" s="23" t="s">
        <v>139</v>
      </c>
      <c r="E40" s="18">
        <v>45555.0</v>
      </c>
      <c r="F40" s="113">
        <f t="shared" ref="F40:F59" si="6">E40+153</f>
        <v>45708</v>
      </c>
      <c r="G40" s="24" t="s">
        <v>21</v>
      </c>
      <c r="H40" s="25" t="s">
        <v>18</v>
      </c>
      <c r="I40" s="20"/>
      <c r="J40" s="20"/>
      <c r="X40" s="15">
        <v>3.0</v>
      </c>
      <c r="Y40" s="22">
        <v>2.43720303E8</v>
      </c>
      <c r="Z40" s="22"/>
      <c r="AA40" s="40" t="s">
        <v>140</v>
      </c>
      <c r="AB40" s="18">
        <v>45698.0</v>
      </c>
      <c r="AC40" s="18">
        <v>45847.0</v>
      </c>
      <c r="AD40" s="24" t="s">
        <v>21</v>
      </c>
      <c r="AE40" s="25" t="s">
        <v>18</v>
      </c>
      <c r="AF40" s="20"/>
      <c r="AG40" s="20"/>
      <c r="AH40" s="50" t="b">
        <v>1</v>
      </c>
      <c r="AI40" s="50" t="b">
        <v>1</v>
      </c>
      <c r="AJ40" s="50" t="b">
        <v>1</v>
      </c>
      <c r="AK40" s="50" t="b">
        <v>1</v>
      </c>
      <c r="AL40" s="50" t="b">
        <v>1</v>
      </c>
      <c r="AM40" s="112" t="b">
        <v>0</v>
      </c>
    </row>
    <row r="41">
      <c r="A41" s="30">
        <v>2.0</v>
      </c>
      <c r="B41" s="16" t="s">
        <v>15</v>
      </c>
      <c r="C41" s="22">
        <v>2.42820202E8</v>
      </c>
      <c r="D41" s="114" t="s">
        <v>141</v>
      </c>
      <c r="E41" s="18">
        <v>45555.0</v>
      </c>
      <c r="F41" s="113">
        <f t="shared" si="6"/>
        <v>45708</v>
      </c>
      <c r="G41" s="24" t="s">
        <v>21</v>
      </c>
      <c r="H41" s="25" t="s">
        <v>18</v>
      </c>
      <c r="I41" s="20"/>
      <c r="J41" s="20"/>
      <c r="X41" s="30">
        <v>4.0</v>
      </c>
      <c r="Y41" s="22">
        <v>2.43720304E8</v>
      </c>
      <c r="Z41" s="22"/>
      <c r="AA41" s="40" t="s">
        <v>142</v>
      </c>
      <c r="AB41" s="18">
        <v>45698.0</v>
      </c>
      <c r="AC41" s="18">
        <v>45847.0</v>
      </c>
      <c r="AD41" s="24" t="s">
        <v>21</v>
      </c>
      <c r="AE41" s="25" t="s">
        <v>18</v>
      </c>
      <c r="AF41" s="21"/>
      <c r="AG41" s="20"/>
      <c r="AH41" s="50" t="b">
        <v>1</v>
      </c>
      <c r="AI41" s="50" t="b">
        <v>1</v>
      </c>
      <c r="AJ41" s="50" t="b">
        <v>1</v>
      </c>
      <c r="AK41" s="50" t="b">
        <v>1</v>
      </c>
      <c r="AL41" s="50" t="b">
        <v>1</v>
      </c>
      <c r="AM41" s="112" t="b">
        <v>0</v>
      </c>
    </row>
    <row r="42">
      <c r="A42" s="15">
        <v>3.0</v>
      </c>
      <c r="B42" s="16" t="s">
        <v>15</v>
      </c>
      <c r="C42" s="22">
        <v>2.42820203E8</v>
      </c>
      <c r="D42" s="114" t="s">
        <v>143</v>
      </c>
      <c r="E42" s="18">
        <v>45555.0</v>
      </c>
      <c r="F42" s="113">
        <f t="shared" si="6"/>
        <v>45708</v>
      </c>
      <c r="G42" s="24" t="s">
        <v>21</v>
      </c>
      <c r="H42" s="25" t="s">
        <v>18</v>
      </c>
      <c r="I42" s="20"/>
      <c r="J42" s="20"/>
      <c r="X42" s="115">
        <v>5.0</v>
      </c>
      <c r="Y42" s="116">
        <v>2.43720305E8</v>
      </c>
      <c r="Z42" s="116"/>
      <c r="AA42" s="117" t="s">
        <v>144</v>
      </c>
      <c r="AB42" s="118">
        <v>45698.0</v>
      </c>
      <c r="AC42" s="118">
        <v>45847.0</v>
      </c>
      <c r="AD42" s="119" t="s">
        <v>21</v>
      </c>
      <c r="AE42" s="120" t="s">
        <v>18</v>
      </c>
      <c r="AF42" s="20"/>
      <c r="AG42" s="20"/>
      <c r="AH42" s="50" t="b">
        <v>1</v>
      </c>
      <c r="AI42" s="50" t="b">
        <v>1</v>
      </c>
      <c r="AJ42" s="50" t="b">
        <v>1</v>
      </c>
      <c r="AK42" s="50" t="b">
        <v>1</v>
      </c>
      <c r="AL42" s="50" t="b">
        <v>1</v>
      </c>
      <c r="AM42" s="112" t="b">
        <v>0</v>
      </c>
    </row>
    <row r="43">
      <c r="A43" s="15">
        <v>4.0</v>
      </c>
      <c r="B43" s="16" t="s">
        <v>15</v>
      </c>
      <c r="C43" s="22">
        <v>2.42820204E8</v>
      </c>
      <c r="D43" s="114" t="s">
        <v>145</v>
      </c>
      <c r="E43" s="18">
        <v>45555.0</v>
      </c>
      <c r="F43" s="113">
        <f t="shared" si="6"/>
        <v>45708</v>
      </c>
      <c r="G43" s="24" t="s">
        <v>21</v>
      </c>
      <c r="H43" s="25" t="s">
        <v>18</v>
      </c>
      <c r="I43" s="20"/>
      <c r="J43" s="21"/>
      <c r="X43" s="30">
        <v>6.0</v>
      </c>
      <c r="Y43" s="22">
        <v>2.43720306E8</v>
      </c>
      <c r="Z43" s="22"/>
      <c r="AA43" s="40" t="s">
        <v>146</v>
      </c>
      <c r="AB43" s="18">
        <v>45698.0</v>
      </c>
      <c r="AC43" s="18">
        <v>45847.0</v>
      </c>
      <c r="AD43" s="24" t="s">
        <v>21</v>
      </c>
      <c r="AE43" s="25" t="s">
        <v>18</v>
      </c>
      <c r="AF43" s="20"/>
      <c r="AG43" s="20"/>
      <c r="AH43" s="50" t="b">
        <v>1</v>
      </c>
      <c r="AI43" s="50" t="b">
        <v>1</v>
      </c>
      <c r="AJ43" s="50" t="b">
        <v>1</v>
      </c>
      <c r="AK43" s="50" t="b">
        <v>1</v>
      </c>
      <c r="AL43" s="50" t="b">
        <v>1</v>
      </c>
      <c r="AM43" s="112" t="b">
        <v>0</v>
      </c>
    </row>
    <row r="44">
      <c r="A44" s="30">
        <v>5.0</v>
      </c>
      <c r="B44" s="16" t="s">
        <v>15</v>
      </c>
      <c r="C44" s="22">
        <v>2.42820205E8</v>
      </c>
      <c r="D44" s="114" t="s">
        <v>147</v>
      </c>
      <c r="E44" s="18">
        <v>45555.0</v>
      </c>
      <c r="F44" s="113">
        <f t="shared" si="6"/>
        <v>45708</v>
      </c>
      <c r="G44" s="24" t="s">
        <v>21</v>
      </c>
      <c r="H44" s="25" t="s">
        <v>18</v>
      </c>
      <c r="I44" s="21" t="s">
        <v>65</v>
      </c>
      <c r="J44" s="21" t="s">
        <v>148</v>
      </c>
      <c r="X44" s="15">
        <v>7.0</v>
      </c>
      <c r="Y44" s="22">
        <v>2.43720307E8</v>
      </c>
      <c r="Z44" s="22"/>
      <c r="AA44" s="40" t="s">
        <v>149</v>
      </c>
      <c r="AB44" s="18">
        <v>45698.0</v>
      </c>
      <c r="AC44" s="18">
        <v>45847.0</v>
      </c>
      <c r="AD44" s="24" t="s">
        <v>21</v>
      </c>
      <c r="AE44" s="25" t="s">
        <v>18</v>
      </c>
      <c r="AF44" s="20"/>
      <c r="AG44" s="20"/>
      <c r="AH44" s="50" t="b">
        <v>1</v>
      </c>
      <c r="AI44" s="50" t="b">
        <v>1</v>
      </c>
      <c r="AJ44" s="50" t="b">
        <v>1</v>
      </c>
      <c r="AK44" s="50" t="b">
        <v>1</v>
      </c>
      <c r="AL44" s="50" t="b">
        <v>1</v>
      </c>
      <c r="AM44" s="112" t="b">
        <v>0</v>
      </c>
    </row>
    <row r="45">
      <c r="A45" s="15">
        <v>6.0</v>
      </c>
      <c r="B45" s="16" t="s">
        <v>15</v>
      </c>
      <c r="C45" s="22">
        <v>2.42820206E8</v>
      </c>
      <c r="D45" s="114" t="s">
        <v>150</v>
      </c>
      <c r="E45" s="18">
        <v>45555.0</v>
      </c>
      <c r="F45" s="113">
        <f t="shared" si="6"/>
        <v>45708</v>
      </c>
      <c r="G45" s="24" t="s">
        <v>21</v>
      </c>
      <c r="H45" s="25" t="s">
        <v>18</v>
      </c>
      <c r="I45" s="21"/>
      <c r="J45" s="20"/>
      <c r="X45" s="30">
        <v>8.0</v>
      </c>
      <c r="Y45" s="22">
        <v>2.43720308E8</v>
      </c>
      <c r="Z45" s="22"/>
      <c r="AA45" s="40" t="s">
        <v>151</v>
      </c>
      <c r="AB45" s="18">
        <v>45698.0</v>
      </c>
      <c r="AC45" s="18">
        <v>45847.0</v>
      </c>
      <c r="AD45" s="24" t="s">
        <v>21</v>
      </c>
      <c r="AE45" s="25" t="s">
        <v>18</v>
      </c>
      <c r="AF45" s="20"/>
      <c r="AG45" s="20"/>
      <c r="AH45" s="50" t="b">
        <v>1</v>
      </c>
      <c r="AI45" s="50" t="b">
        <v>1</v>
      </c>
      <c r="AJ45" s="50" t="b">
        <v>1</v>
      </c>
      <c r="AK45" s="50" t="b">
        <v>1</v>
      </c>
      <c r="AL45" s="50" t="b">
        <v>1</v>
      </c>
      <c r="AM45" s="112" t="b">
        <v>0</v>
      </c>
    </row>
    <row r="46">
      <c r="A46" s="15">
        <v>7.0</v>
      </c>
      <c r="B46" s="121" t="s">
        <v>15</v>
      </c>
      <c r="C46" s="22">
        <v>2.42820207E8</v>
      </c>
      <c r="D46" s="122" t="s">
        <v>152</v>
      </c>
      <c r="E46" s="18">
        <v>45555.0</v>
      </c>
      <c r="F46" s="113">
        <f t="shared" si="6"/>
        <v>45708</v>
      </c>
      <c r="G46" s="24" t="s">
        <v>21</v>
      </c>
      <c r="H46" s="123" t="s">
        <v>41</v>
      </c>
      <c r="I46" s="20"/>
      <c r="J46" s="20"/>
      <c r="X46" s="15">
        <v>9.0</v>
      </c>
      <c r="Y46" s="22">
        <v>2.43720309E8</v>
      </c>
      <c r="Z46" s="22"/>
      <c r="AA46" s="40" t="s">
        <v>153</v>
      </c>
      <c r="AB46" s="18">
        <v>45698.0</v>
      </c>
      <c r="AC46" s="18">
        <v>45847.0</v>
      </c>
      <c r="AD46" s="24" t="s">
        <v>21</v>
      </c>
      <c r="AE46" s="25" t="s">
        <v>50</v>
      </c>
      <c r="AF46" s="20"/>
      <c r="AG46" s="20"/>
      <c r="AH46" s="50" t="b">
        <v>0</v>
      </c>
      <c r="AI46" s="50" t="b">
        <v>0</v>
      </c>
      <c r="AJ46" s="50" t="b">
        <v>0</v>
      </c>
      <c r="AK46" s="50" t="b">
        <v>0</v>
      </c>
      <c r="AL46" s="50" t="b">
        <v>0</v>
      </c>
      <c r="AM46" s="112" t="b">
        <v>0</v>
      </c>
    </row>
    <row r="47">
      <c r="A47" s="30">
        <v>8.0</v>
      </c>
      <c r="B47" s="121" t="s">
        <v>15</v>
      </c>
      <c r="C47" s="22">
        <v>2.42820208E8</v>
      </c>
      <c r="D47" s="122" t="s">
        <v>154</v>
      </c>
      <c r="E47" s="18">
        <v>45555.0</v>
      </c>
      <c r="F47" s="113">
        <f t="shared" si="6"/>
        <v>45708</v>
      </c>
      <c r="G47" s="24" t="s">
        <v>21</v>
      </c>
      <c r="H47" s="123" t="s">
        <v>41</v>
      </c>
      <c r="I47" s="20"/>
      <c r="J47" s="20"/>
      <c r="X47" s="30">
        <v>10.0</v>
      </c>
      <c r="Y47" s="22">
        <v>2.4372031E8</v>
      </c>
      <c r="Z47" s="22"/>
      <c r="AA47" s="40" t="s">
        <v>155</v>
      </c>
      <c r="AB47" s="18">
        <v>45698.0</v>
      </c>
      <c r="AC47" s="18">
        <v>45847.0</v>
      </c>
      <c r="AD47" s="24" t="s">
        <v>21</v>
      </c>
      <c r="AE47" s="25" t="s">
        <v>18</v>
      </c>
      <c r="AF47" s="20"/>
      <c r="AG47" s="49"/>
      <c r="AH47" s="50" t="b">
        <v>1</v>
      </c>
      <c r="AI47" s="50" t="b">
        <v>1</v>
      </c>
      <c r="AJ47" s="50" t="b">
        <v>1</v>
      </c>
      <c r="AK47" s="50" t="b">
        <v>1</v>
      </c>
      <c r="AL47" s="112" t="b">
        <v>0</v>
      </c>
      <c r="AM47" s="112" t="b">
        <v>0</v>
      </c>
    </row>
    <row r="48">
      <c r="A48" s="15">
        <v>9.0</v>
      </c>
      <c r="B48" s="44" t="s">
        <v>15</v>
      </c>
      <c r="C48" s="22">
        <v>2.42820209E8</v>
      </c>
      <c r="D48" s="124" t="s">
        <v>156</v>
      </c>
      <c r="E48" s="18">
        <v>45555.0</v>
      </c>
      <c r="F48" s="113">
        <f t="shared" si="6"/>
        <v>45708</v>
      </c>
      <c r="G48" s="24" t="s">
        <v>21</v>
      </c>
      <c r="H48" s="123" t="s">
        <v>31</v>
      </c>
      <c r="I48" s="20"/>
      <c r="J48" s="20"/>
      <c r="X48" s="15">
        <v>11.0</v>
      </c>
      <c r="Y48" s="22">
        <v>2.43720311E8</v>
      </c>
      <c r="Z48" s="22"/>
      <c r="AA48" s="40" t="s">
        <v>157</v>
      </c>
      <c r="AB48" s="18">
        <v>45698.0</v>
      </c>
      <c r="AC48" s="18">
        <v>45847.0</v>
      </c>
      <c r="AD48" s="24" t="s">
        <v>21</v>
      </c>
      <c r="AE48" s="25" t="s">
        <v>23</v>
      </c>
      <c r="AF48" s="20"/>
      <c r="AG48" s="53"/>
      <c r="AH48" s="50" t="b">
        <v>1</v>
      </c>
      <c r="AI48" s="50" t="b">
        <v>1</v>
      </c>
      <c r="AJ48" s="50" t="b">
        <v>1</v>
      </c>
      <c r="AK48" s="50" t="b">
        <v>1</v>
      </c>
      <c r="AL48" s="112" t="b">
        <v>0</v>
      </c>
      <c r="AM48" s="112" t="b">
        <v>0</v>
      </c>
    </row>
    <row r="49">
      <c r="A49" s="30">
        <v>10.0</v>
      </c>
      <c r="B49" s="44" t="s">
        <v>15</v>
      </c>
      <c r="C49" s="22">
        <v>2.4282021E8</v>
      </c>
      <c r="D49" s="124" t="s">
        <v>158</v>
      </c>
      <c r="E49" s="18">
        <v>45555.0</v>
      </c>
      <c r="F49" s="113">
        <f t="shared" si="6"/>
        <v>45708</v>
      </c>
      <c r="G49" s="24" t="s">
        <v>21</v>
      </c>
      <c r="H49" s="123" t="s">
        <v>31</v>
      </c>
      <c r="I49" s="20"/>
      <c r="J49" s="20"/>
      <c r="X49" s="125">
        <v>12.0</v>
      </c>
      <c r="Y49" s="116">
        <v>2.43720312E8</v>
      </c>
      <c r="Z49" s="116"/>
      <c r="AA49" s="117" t="s">
        <v>159</v>
      </c>
      <c r="AB49" s="118">
        <v>45698.0</v>
      </c>
      <c r="AC49" s="118">
        <v>45847.0</v>
      </c>
      <c r="AD49" s="119" t="s">
        <v>21</v>
      </c>
      <c r="AE49" s="120" t="s">
        <v>23</v>
      </c>
      <c r="AF49" s="20"/>
      <c r="AG49" s="56"/>
      <c r="AH49" s="50" t="b">
        <v>1</v>
      </c>
      <c r="AI49" s="126" t="b">
        <v>0</v>
      </c>
      <c r="AJ49" s="50" t="b">
        <v>1</v>
      </c>
      <c r="AK49" s="50" t="b">
        <v>1</v>
      </c>
      <c r="AL49" s="50" t="b">
        <v>1</v>
      </c>
      <c r="AM49" s="112" t="b">
        <v>0</v>
      </c>
    </row>
    <row r="50">
      <c r="A50" s="15">
        <v>11.0</v>
      </c>
      <c r="B50" s="44" t="s">
        <v>15</v>
      </c>
      <c r="C50" s="22">
        <v>2.42820211E8</v>
      </c>
      <c r="D50" s="124" t="s">
        <v>160</v>
      </c>
      <c r="E50" s="18">
        <v>45555.0</v>
      </c>
      <c r="F50" s="113">
        <f t="shared" si="6"/>
        <v>45708</v>
      </c>
      <c r="G50" s="24" t="s">
        <v>21</v>
      </c>
      <c r="H50" s="123" t="s">
        <v>31</v>
      </c>
      <c r="I50" s="20"/>
      <c r="J50" s="49"/>
      <c r="X50" s="15">
        <v>13.0</v>
      </c>
      <c r="Y50" s="11">
        <v>2.43720313E8</v>
      </c>
      <c r="Z50" s="11"/>
      <c r="AA50" s="127" t="s">
        <v>161</v>
      </c>
      <c r="AB50" s="128">
        <v>45698.0</v>
      </c>
      <c r="AC50" s="128">
        <v>45847.0</v>
      </c>
      <c r="AD50" s="24" t="s">
        <v>21</v>
      </c>
      <c r="AE50" s="129" t="s">
        <v>23</v>
      </c>
      <c r="AF50" s="21"/>
      <c r="AG50" s="56"/>
      <c r="AH50" s="50" t="b">
        <v>1</v>
      </c>
      <c r="AI50" s="50" t="b">
        <v>1</v>
      </c>
      <c r="AJ50" s="50" t="b">
        <v>1</v>
      </c>
      <c r="AK50" s="50" t="b">
        <v>1</v>
      </c>
      <c r="AL50" s="50" t="b">
        <v>1</v>
      </c>
      <c r="AM50" s="112" t="b">
        <v>0</v>
      </c>
    </row>
    <row r="51">
      <c r="A51" s="15">
        <v>12.0</v>
      </c>
      <c r="B51" s="44" t="s">
        <v>15</v>
      </c>
      <c r="C51" s="22">
        <v>2.42820212E8</v>
      </c>
      <c r="D51" s="124" t="s">
        <v>162</v>
      </c>
      <c r="E51" s="18">
        <v>45555.0</v>
      </c>
      <c r="F51" s="113">
        <f t="shared" si="6"/>
        <v>45708</v>
      </c>
      <c r="G51" s="24" t="s">
        <v>21</v>
      </c>
      <c r="H51" s="123" t="s">
        <v>31</v>
      </c>
      <c r="I51" s="21" t="s">
        <v>65</v>
      </c>
      <c r="J51" s="53"/>
      <c r="X51" s="30">
        <v>14.0</v>
      </c>
      <c r="Y51" s="11">
        <v>2.43720314E8</v>
      </c>
      <c r="Z51" s="11"/>
      <c r="AA51" s="127" t="s">
        <v>163</v>
      </c>
      <c r="AB51" s="128">
        <v>45698.0</v>
      </c>
      <c r="AC51" s="128">
        <v>45847.0</v>
      </c>
      <c r="AD51" s="24" t="s">
        <v>21</v>
      </c>
      <c r="AE51" s="129" t="s">
        <v>23</v>
      </c>
      <c r="AF51" s="21"/>
      <c r="AG51" s="58"/>
      <c r="AH51" s="50" t="b">
        <v>1</v>
      </c>
      <c r="AI51" s="126" t="b">
        <v>0</v>
      </c>
      <c r="AJ51" s="50" t="b">
        <v>1</v>
      </c>
      <c r="AK51" s="50" t="b">
        <v>1</v>
      </c>
      <c r="AL51" s="112" t="b">
        <v>0</v>
      </c>
      <c r="AM51" s="112" t="b">
        <v>0</v>
      </c>
    </row>
    <row r="52">
      <c r="A52" s="30">
        <v>13.0</v>
      </c>
      <c r="B52" s="63" t="s">
        <v>15</v>
      </c>
      <c r="C52" s="22">
        <v>2.42820213E8</v>
      </c>
      <c r="D52" s="130" t="s">
        <v>164</v>
      </c>
      <c r="E52" s="18">
        <v>45555.0</v>
      </c>
      <c r="F52" s="113">
        <f t="shared" si="6"/>
        <v>45708</v>
      </c>
      <c r="G52" s="24" t="s">
        <v>21</v>
      </c>
      <c r="H52" s="123" t="s">
        <v>50</v>
      </c>
      <c r="I52" s="20"/>
      <c r="J52" s="56"/>
      <c r="V52" s="131"/>
      <c r="X52" s="15">
        <v>15.0</v>
      </c>
      <c r="Y52" s="11">
        <v>2.43720315E8</v>
      </c>
      <c r="Z52" s="11"/>
      <c r="AA52" s="127" t="s">
        <v>165</v>
      </c>
      <c r="AB52" s="128">
        <v>45698.0</v>
      </c>
      <c r="AC52" s="128">
        <v>45847.0</v>
      </c>
      <c r="AD52" s="24" t="s">
        <v>21</v>
      </c>
      <c r="AE52" s="129" t="s">
        <v>23</v>
      </c>
      <c r="AF52" s="42"/>
      <c r="AG52" s="42"/>
      <c r="AH52" s="132" t="b">
        <v>1</v>
      </c>
      <c r="AI52" s="133" t="b">
        <v>0</v>
      </c>
      <c r="AJ52" s="132" t="b">
        <v>1</v>
      </c>
      <c r="AK52" s="132" t="b">
        <v>1</v>
      </c>
      <c r="AL52" s="132" t="b">
        <v>1</v>
      </c>
      <c r="AM52" s="131" t="b">
        <v>0</v>
      </c>
    </row>
    <row r="53">
      <c r="A53" s="15">
        <v>14.0</v>
      </c>
      <c r="B53" s="60" t="s">
        <v>15</v>
      </c>
      <c r="C53" s="22">
        <v>2.42820214E8</v>
      </c>
      <c r="D53" s="66" t="s">
        <v>166</v>
      </c>
      <c r="E53" s="18">
        <v>45555.0</v>
      </c>
      <c r="F53" s="113">
        <f t="shared" si="6"/>
        <v>45708</v>
      </c>
      <c r="G53" s="24" t="s">
        <v>21</v>
      </c>
      <c r="H53" s="25" t="s">
        <v>23</v>
      </c>
      <c r="I53" s="20"/>
      <c r="J53" s="56"/>
      <c r="V53" s="131"/>
      <c r="X53" s="134">
        <v>16.0</v>
      </c>
      <c r="Y53" s="11">
        <v>2.43720316E8</v>
      </c>
      <c r="Z53" s="11"/>
      <c r="AA53" s="135" t="s">
        <v>167</v>
      </c>
      <c r="AB53" s="136">
        <v>45698.0</v>
      </c>
      <c r="AC53" s="136">
        <v>45847.0</v>
      </c>
      <c r="AD53" s="24" t="s">
        <v>21</v>
      </c>
      <c r="AE53" s="137" t="s">
        <v>23</v>
      </c>
      <c r="AF53" s="42"/>
      <c r="AG53" s="42"/>
      <c r="AH53" s="132" t="b">
        <v>1</v>
      </c>
      <c r="AI53" s="133" t="b">
        <v>0</v>
      </c>
      <c r="AJ53" s="132" t="b">
        <v>1</v>
      </c>
      <c r="AK53" s="132" t="b">
        <v>1</v>
      </c>
      <c r="AL53" s="132" t="b">
        <v>1</v>
      </c>
      <c r="AM53" s="131" t="b">
        <v>0</v>
      </c>
    </row>
    <row r="54">
      <c r="A54" s="15">
        <v>15.0</v>
      </c>
      <c r="B54" s="60" t="s">
        <v>15</v>
      </c>
      <c r="C54" s="22">
        <v>2.42820215E8</v>
      </c>
      <c r="D54" s="66" t="s">
        <v>168</v>
      </c>
      <c r="E54" s="18">
        <v>45555.0</v>
      </c>
      <c r="F54" s="113">
        <f t="shared" si="6"/>
        <v>45708</v>
      </c>
      <c r="G54" s="24" t="s">
        <v>21</v>
      </c>
      <c r="H54" s="25" t="s">
        <v>23</v>
      </c>
      <c r="I54" s="21" t="s">
        <v>65</v>
      </c>
      <c r="J54" s="58"/>
      <c r="V54" s="131"/>
      <c r="X54" s="15">
        <v>17.0</v>
      </c>
      <c r="Y54" s="11">
        <v>2.43720317E8</v>
      </c>
      <c r="Z54" s="11"/>
      <c r="AA54" s="127" t="s">
        <v>169</v>
      </c>
      <c r="AB54" s="128">
        <v>45698.0</v>
      </c>
      <c r="AC54" s="128">
        <v>45847.0</v>
      </c>
      <c r="AD54" s="24" t="s">
        <v>21</v>
      </c>
      <c r="AE54" s="129" t="s">
        <v>170</v>
      </c>
      <c r="AF54" s="27"/>
      <c r="AG54" s="20"/>
      <c r="AH54" s="50" t="b">
        <v>1</v>
      </c>
      <c r="AI54" s="50" t="b">
        <v>1</v>
      </c>
      <c r="AJ54" s="50" t="b">
        <v>1</v>
      </c>
      <c r="AK54" s="50" t="b">
        <v>1</v>
      </c>
      <c r="AL54" s="133" t="b">
        <v>0</v>
      </c>
      <c r="AM54" s="112" t="b">
        <v>0</v>
      </c>
    </row>
    <row r="55">
      <c r="A55" s="30">
        <v>16.0</v>
      </c>
      <c r="B55" s="60" t="s">
        <v>15</v>
      </c>
      <c r="C55" s="22">
        <v>2.42820216E8</v>
      </c>
      <c r="D55" s="66" t="s">
        <v>171</v>
      </c>
      <c r="E55" s="18">
        <v>45555.0</v>
      </c>
      <c r="F55" s="113">
        <f t="shared" si="6"/>
        <v>45708</v>
      </c>
      <c r="G55" s="24" t="s">
        <v>21</v>
      </c>
      <c r="H55" s="25" t="s">
        <v>23</v>
      </c>
      <c r="I55" s="20"/>
      <c r="J55" s="20"/>
      <c r="V55" s="131"/>
      <c r="X55" s="30">
        <v>18.0</v>
      </c>
      <c r="Y55" s="11">
        <v>2.43720318E8</v>
      </c>
      <c r="Z55" s="11"/>
      <c r="AA55" s="135" t="s">
        <v>172</v>
      </c>
      <c r="AB55" s="128">
        <v>45698.0</v>
      </c>
      <c r="AC55" s="128">
        <v>45847.0</v>
      </c>
      <c r="AD55" s="24" t="s">
        <v>21</v>
      </c>
      <c r="AE55" s="129" t="s">
        <v>50</v>
      </c>
      <c r="AF55" s="21"/>
      <c r="AG55" s="20"/>
      <c r="AH55" s="50" t="b">
        <v>1</v>
      </c>
      <c r="AI55" s="50" t="b">
        <v>1</v>
      </c>
      <c r="AJ55" s="50" t="b">
        <v>1</v>
      </c>
      <c r="AK55" s="50" t="b">
        <v>1</v>
      </c>
      <c r="AL55" s="112" t="b">
        <v>0</v>
      </c>
      <c r="AM55" s="112" t="b">
        <v>0</v>
      </c>
    </row>
    <row r="56">
      <c r="A56" s="15">
        <v>17.0</v>
      </c>
      <c r="B56" s="60" t="s">
        <v>15</v>
      </c>
      <c r="C56" s="22">
        <v>2.42820217E8</v>
      </c>
      <c r="D56" s="66" t="s">
        <v>173</v>
      </c>
      <c r="E56" s="18">
        <v>45555.0</v>
      </c>
      <c r="F56" s="113">
        <f t="shared" si="6"/>
        <v>45708</v>
      </c>
      <c r="G56" s="24" t="s">
        <v>21</v>
      </c>
      <c r="H56" s="25" t="s">
        <v>23</v>
      </c>
      <c r="I56" s="20"/>
      <c r="J56" s="20"/>
      <c r="V56" s="131"/>
      <c r="X56" s="115">
        <v>19.0</v>
      </c>
      <c r="Y56" s="116">
        <v>2.43720319E8</v>
      </c>
      <c r="Z56" s="116"/>
      <c r="AA56" s="117" t="s">
        <v>174</v>
      </c>
      <c r="AB56" s="118">
        <v>45698.0</v>
      </c>
      <c r="AC56" s="118">
        <v>45847.0</v>
      </c>
      <c r="AD56" s="119" t="s">
        <v>21</v>
      </c>
      <c r="AE56" s="120" t="s">
        <v>31</v>
      </c>
      <c r="AF56" s="21"/>
      <c r="AG56" s="20"/>
      <c r="AH56" s="50" t="b">
        <v>1</v>
      </c>
      <c r="AI56" s="50" t="b">
        <v>1</v>
      </c>
      <c r="AJ56" s="50" t="b">
        <v>1</v>
      </c>
      <c r="AK56" s="50" t="b">
        <v>1</v>
      </c>
      <c r="AL56" s="50" t="b">
        <v>1</v>
      </c>
      <c r="AM56" s="112" t="b">
        <v>0</v>
      </c>
    </row>
    <row r="57">
      <c r="A57" s="30">
        <v>18.0</v>
      </c>
      <c r="B57" s="60" t="s">
        <v>15</v>
      </c>
      <c r="C57" s="22">
        <v>2.42820218E8</v>
      </c>
      <c r="D57" s="66" t="s">
        <v>175</v>
      </c>
      <c r="E57" s="18">
        <v>45555.0</v>
      </c>
      <c r="F57" s="113">
        <f t="shared" si="6"/>
        <v>45708</v>
      </c>
      <c r="G57" s="24" t="s">
        <v>21</v>
      </c>
      <c r="H57" s="25" t="s">
        <v>23</v>
      </c>
      <c r="I57" s="20"/>
      <c r="J57" s="20"/>
      <c r="V57" s="131"/>
      <c r="X57" s="30">
        <v>20.0</v>
      </c>
      <c r="Y57" s="11">
        <v>2.4372032E8</v>
      </c>
      <c r="Z57" s="11"/>
      <c r="AA57" s="127" t="s">
        <v>176</v>
      </c>
      <c r="AB57" s="128">
        <v>45698.0</v>
      </c>
      <c r="AC57" s="128">
        <v>45847.0</v>
      </c>
      <c r="AD57" s="24" t="s">
        <v>21</v>
      </c>
      <c r="AE57" s="129" t="s">
        <v>31</v>
      </c>
      <c r="AF57" s="21"/>
      <c r="AG57" s="20"/>
      <c r="AH57" s="50" t="b">
        <v>1</v>
      </c>
      <c r="AI57" s="126" t="b">
        <v>0</v>
      </c>
      <c r="AJ57" s="126" t="b">
        <v>0</v>
      </c>
      <c r="AK57" s="50" t="b">
        <v>1</v>
      </c>
      <c r="AL57" s="50" t="b">
        <v>1</v>
      </c>
      <c r="AM57" s="112" t="b">
        <v>0</v>
      </c>
    </row>
    <row r="58">
      <c r="A58" s="15">
        <v>19.0</v>
      </c>
      <c r="B58" s="60" t="s">
        <v>15</v>
      </c>
      <c r="C58" s="22">
        <v>2.42820219E8</v>
      </c>
      <c r="D58" s="66" t="s">
        <v>177</v>
      </c>
      <c r="E58" s="18">
        <v>45555.0</v>
      </c>
      <c r="F58" s="113">
        <f t="shared" si="6"/>
        <v>45708</v>
      </c>
      <c r="G58" s="24" t="s">
        <v>21</v>
      </c>
      <c r="H58" s="25" t="s">
        <v>23</v>
      </c>
      <c r="I58" s="20"/>
      <c r="J58" s="20"/>
      <c r="V58" s="131"/>
      <c r="X58" s="15">
        <v>21.0</v>
      </c>
      <c r="Y58" s="11">
        <v>2.43720321E8</v>
      </c>
      <c r="Z58" s="11"/>
      <c r="AA58" s="127" t="s">
        <v>178</v>
      </c>
      <c r="AB58" s="128">
        <v>45698.0</v>
      </c>
      <c r="AC58" s="128">
        <v>45847.0</v>
      </c>
      <c r="AD58" s="24" t="s">
        <v>21</v>
      </c>
      <c r="AE58" s="129" t="s">
        <v>31</v>
      </c>
      <c r="AF58" s="21"/>
      <c r="AG58" s="20"/>
      <c r="AH58" s="50" t="b">
        <v>1</v>
      </c>
      <c r="AI58" s="50" t="b">
        <v>1</v>
      </c>
      <c r="AJ58" s="50" t="b">
        <v>1</v>
      </c>
      <c r="AK58" s="50" t="b">
        <v>1</v>
      </c>
      <c r="AL58" s="50" t="b">
        <v>1</v>
      </c>
      <c r="AM58" s="112" t="b">
        <v>0</v>
      </c>
    </row>
    <row r="59">
      <c r="A59" s="15">
        <v>20.0</v>
      </c>
      <c r="B59" s="60" t="s">
        <v>15</v>
      </c>
      <c r="C59" s="22">
        <v>2.4282022E8</v>
      </c>
      <c r="D59" s="66" t="s">
        <v>179</v>
      </c>
      <c r="E59" s="18">
        <v>45555.0</v>
      </c>
      <c r="F59" s="18">
        <f t="shared" si="6"/>
        <v>45708</v>
      </c>
      <c r="G59" s="24" t="s">
        <v>21</v>
      </c>
      <c r="H59" s="25" t="s">
        <v>23</v>
      </c>
      <c r="I59" s="20"/>
      <c r="J59" s="20"/>
      <c r="V59" s="131"/>
      <c r="X59" s="30">
        <v>22.0</v>
      </c>
      <c r="Y59" s="11">
        <v>2.43720322E8</v>
      </c>
      <c r="Z59" s="11"/>
      <c r="AA59" s="127" t="s">
        <v>180</v>
      </c>
      <c r="AB59" s="128">
        <v>45698.0</v>
      </c>
      <c r="AC59" s="128">
        <v>45847.0</v>
      </c>
      <c r="AD59" s="24" t="s">
        <v>21</v>
      </c>
      <c r="AE59" s="129" t="s">
        <v>31</v>
      </c>
      <c r="AF59" s="21"/>
      <c r="AG59" s="20"/>
      <c r="AH59" s="50" t="b">
        <v>1</v>
      </c>
      <c r="AI59" s="50" t="b">
        <v>1</v>
      </c>
      <c r="AJ59" s="50" t="b">
        <v>1</v>
      </c>
      <c r="AK59" s="50" t="b">
        <v>1</v>
      </c>
      <c r="AL59" s="50" t="b">
        <v>1</v>
      </c>
      <c r="AM59" s="112" t="b">
        <v>0</v>
      </c>
    </row>
    <row r="60">
      <c r="A60" s="15"/>
      <c r="B60" s="60"/>
      <c r="C60" s="22"/>
      <c r="D60" s="66"/>
      <c r="E60" s="18"/>
      <c r="F60" s="18"/>
      <c r="G60" s="24"/>
      <c r="H60" s="25"/>
      <c r="I60" s="20"/>
      <c r="J60" s="20"/>
      <c r="V60" s="131"/>
      <c r="X60" s="15">
        <v>23.0</v>
      </c>
      <c r="Y60" s="11">
        <v>2.43720323E8</v>
      </c>
      <c r="Z60" s="11"/>
      <c r="AA60" s="127" t="s">
        <v>181</v>
      </c>
      <c r="AB60" s="128">
        <v>45698.0</v>
      </c>
      <c r="AC60" s="128">
        <v>45847.0</v>
      </c>
      <c r="AD60" s="24" t="s">
        <v>21</v>
      </c>
      <c r="AE60" s="138" t="s">
        <v>23</v>
      </c>
      <c r="AF60" s="21"/>
      <c r="AG60" s="20"/>
      <c r="AH60" s="50" t="b">
        <v>0</v>
      </c>
      <c r="AI60" s="50" t="b">
        <v>0</v>
      </c>
      <c r="AJ60" s="50" t="b">
        <v>0</v>
      </c>
      <c r="AK60" s="50" t="b">
        <v>0</v>
      </c>
      <c r="AL60" s="50" t="b">
        <v>0</v>
      </c>
      <c r="AM60" s="112" t="b">
        <v>0</v>
      </c>
    </row>
    <row r="61">
      <c r="A61" s="30">
        <v>21.0</v>
      </c>
      <c r="B61" s="139" t="s">
        <v>15</v>
      </c>
      <c r="C61" s="140">
        <v>2.42820221E8</v>
      </c>
      <c r="D61" s="141" t="s">
        <v>182</v>
      </c>
      <c r="E61" s="18">
        <v>45555.0</v>
      </c>
      <c r="F61" s="18">
        <f>E61+153</f>
        <v>45708</v>
      </c>
      <c r="G61" s="24" t="s">
        <v>183</v>
      </c>
      <c r="H61" s="25" t="s">
        <v>184</v>
      </c>
      <c r="I61" s="20"/>
      <c r="J61" s="20"/>
      <c r="V61" s="131"/>
      <c r="X61" s="30">
        <v>24.0</v>
      </c>
      <c r="Y61" s="11">
        <v>2.43720324E8</v>
      </c>
      <c r="Z61" s="11"/>
      <c r="AA61" s="127" t="s">
        <v>185</v>
      </c>
      <c r="AB61" s="128">
        <v>45698.0</v>
      </c>
      <c r="AC61" s="128">
        <v>45847.0</v>
      </c>
      <c r="AD61" s="24" t="s">
        <v>21</v>
      </c>
      <c r="AE61" s="129" t="s">
        <v>50</v>
      </c>
      <c r="AF61" s="21"/>
      <c r="AG61" s="20"/>
      <c r="AH61" s="50" t="b">
        <v>1</v>
      </c>
      <c r="AI61" s="50" t="b">
        <v>1</v>
      </c>
      <c r="AJ61" s="126" t="b">
        <v>0</v>
      </c>
      <c r="AK61" s="126" t="b">
        <v>0</v>
      </c>
      <c r="AL61" s="112" t="b">
        <v>0</v>
      </c>
      <c r="AM61" s="50" t="b">
        <v>1</v>
      </c>
    </row>
    <row r="62">
      <c r="V62" s="131"/>
      <c r="X62" s="15">
        <v>25.0</v>
      </c>
      <c r="Y62" s="11">
        <v>2.43720325E8</v>
      </c>
      <c r="Z62" s="142"/>
      <c r="AA62" s="127" t="s">
        <v>186</v>
      </c>
      <c r="AB62" s="128">
        <v>45698.0</v>
      </c>
      <c r="AC62" s="128">
        <v>45847.0</v>
      </c>
      <c r="AD62" s="24" t="s">
        <v>21</v>
      </c>
      <c r="AE62" s="129" t="s">
        <v>50</v>
      </c>
      <c r="AF62" s="42"/>
      <c r="AG62" s="42"/>
      <c r="AH62" s="50" t="b">
        <v>1</v>
      </c>
      <c r="AI62" s="50" t="b">
        <v>1</v>
      </c>
      <c r="AJ62" s="133" t="b">
        <v>0</v>
      </c>
      <c r="AK62" s="50" t="b">
        <v>1</v>
      </c>
      <c r="AL62" s="112" t="b">
        <v>0</v>
      </c>
      <c r="AM62" s="50" t="b">
        <v>1</v>
      </c>
    </row>
    <row r="63">
      <c r="A63" s="96" t="s">
        <v>118</v>
      </c>
      <c r="B63" s="97"/>
      <c r="C63" s="97"/>
      <c r="D63" s="98"/>
      <c r="E63" s="99" t="s">
        <v>18</v>
      </c>
      <c r="F63" s="100" t="s">
        <v>41</v>
      </c>
      <c r="G63" s="101" t="s">
        <v>31</v>
      </c>
      <c r="H63" s="102" t="s">
        <v>50</v>
      </c>
      <c r="I63" s="103" t="s">
        <v>119</v>
      </c>
      <c r="J63" s="104" t="s">
        <v>120</v>
      </c>
      <c r="V63" s="131"/>
      <c r="X63" s="30">
        <v>26.0</v>
      </c>
      <c r="Y63" s="11">
        <v>2.43720326E8</v>
      </c>
      <c r="Z63" s="11"/>
      <c r="AA63" s="127" t="s">
        <v>187</v>
      </c>
      <c r="AB63" s="128">
        <v>45698.0</v>
      </c>
      <c r="AC63" s="128">
        <v>45847.0</v>
      </c>
      <c r="AD63" s="24" t="s">
        <v>21</v>
      </c>
      <c r="AE63" s="129" t="s">
        <v>50</v>
      </c>
      <c r="AF63" s="20"/>
      <c r="AG63" s="20"/>
      <c r="AH63" s="50" t="b">
        <v>1</v>
      </c>
      <c r="AI63" s="50" t="b">
        <v>1</v>
      </c>
      <c r="AJ63" s="50" t="b">
        <v>1</v>
      </c>
      <c r="AK63" s="50" t="b">
        <v>1</v>
      </c>
      <c r="AL63" s="50" t="b">
        <v>0</v>
      </c>
      <c r="AM63" s="50" t="b">
        <v>1</v>
      </c>
    </row>
    <row r="64">
      <c r="A64" s="143" t="s">
        <v>188</v>
      </c>
      <c r="B64" s="97"/>
      <c r="C64" s="97"/>
      <c r="D64" s="106"/>
      <c r="E64" s="90">
        <v>3.0</v>
      </c>
      <c r="F64" s="107">
        <v>2.0</v>
      </c>
      <c r="G64" s="90">
        <v>5.0</v>
      </c>
      <c r="H64" s="90">
        <v>5.0</v>
      </c>
      <c r="I64" s="90">
        <v>5.0</v>
      </c>
      <c r="J64" s="107">
        <f t="shared" ref="J64:J66" si="7">E64+F64+G64+H64+I64</f>
        <v>20</v>
      </c>
      <c r="V64" s="131"/>
      <c r="X64" s="15">
        <v>27.0</v>
      </c>
      <c r="Y64" s="11">
        <v>2.43720327E8</v>
      </c>
      <c r="Z64" s="11"/>
      <c r="AA64" s="127" t="s">
        <v>189</v>
      </c>
      <c r="AB64" s="128">
        <v>45698.0</v>
      </c>
      <c r="AC64" s="128">
        <v>45847.0</v>
      </c>
      <c r="AD64" s="24" t="s">
        <v>21</v>
      </c>
      <c r="AE64" s="129" t="s">
        <v>50</v>
      </c>
      <c r="AF64" s="21"/>
      <c r="AG64" s="20"/>
      <c r="AH64" s="50" t="b">
        <v>1</v>
      </c>
      <c r="AI64" s="50" t="b">
        <v>1</v>
      </c>
      <c r="AJ64" s="50" t="b">
        <v>1</v>
      </c>
      <c r="AK64" s="50" t="b">
        <v>1</v>
      </c>
      <c r="AL64" s="112" t="b">
        <v>0</v>
      </c>
      <c r="AM64" s="50" t="b">
        <v>1</v>
      </c>
    </row>
    <row r="65">
      <c r="A65" s="105" t="s">
        <v>126</v>
      </c>
      <c r="B65" s="97"/>
      <c r="C65" s="97"/>
      <c r="D65" s="106"/>
      <c r="E65" s="90">
        <v>6.0</v>
      </c>
      <c r="F65" s="90">
        <v>2.0</v>
      </c>
      <c r="G65" s="90">
        <v>4.0</v>
      </c>
      <c r="H65" s="90">
        <v>1.0</v>
      </c>
      <c r="I65" s="90">
        <v>7.0</v>
      </c>
      <c r="J65" s="107">
        <f t="shared" si="7"/>
        <v>20</v>
      </c>
      <c r="X65" s="30">
        <v>28.0</v>
      </c>
      <c r="Y65" s="11">
        <v>2.43720328E8</v>
      </c>
      <c r="Z65" s="142"/>
      <c r="AA65" s="127" t="s">
        <v>190</v>
      </c>
      <c r="AB65" s="128">
        <v>45698.0</v>
      </c>
      <c r="AC65" s="128">
        <v>45847.0</v>
      </c>
      <c r="AD65" s="24" t="s">
        <v>21</v>
      </c>
      <c r="AE65" s="129" t="s">
        <v>50</v>
      </c>
      <c r="AF65" s="42"/>
      <c r="AG65" s="42"/>
      <c r="AH65" s="50" t="b">
        <v>1</v>
      </c>
      <c r="AI65" s="126" t="b">
        <v>0</v>
      </c>
      <c r="AJ65" s="126" t="b">
        <v>0</v>
      </c>
      <c r="AK65" s="50" t="b">
        <v>1</v>
      </c>
      <c r="AL65" s="112" t="b">
        <v>0</v>
      </c>
      <c r="AM65" s="50" t="b">
        <v>1</v>
      </c>
    </row>
    <row r="66">
      <c r="A66" s="143" t="s">
        <v>127</v>
      </c>
      <c r="B66" s="97"/>
      <c r="C66" s="97"/>
      <c r="D66" s="106"/>
      <c r="E66" s="90">
        <f t="shared" ref="E66:I66" si="8">E65-E64</f>
        <v>3</v>
      </c>
      <c r="F66" s="90">
        <f t="shared" si="8"/>
        <v>0</v>
      </c>
      <c r="G66" s="90">
        <f t="shared" si="8"/>
        <v>-1</v>
      </c>
      <c r="H66" s="90">
        <f t="shared" si="8"/>
        <v>-4</v>
      </c>
      <c r="I66" s="90">
        <f t="shared" si="8"/>
        <v>2</v>
      </c>
      <c r="J66" s="107">
        <f t="shared" si="7"/>
        <v>0</v>
      </c>
      <c r="X66" s="15">
        <v>29.0</v>
      </c>
      <c r="Y66" s="11">
        <v>2.43720329E8</v>
      </c>
      <c r="Z66" s="11"/>
      <c r="AA66" s="127" t="s">
        <v>191</v>
      </c>
      <c r="AB66" s="128">
        <v>45698.0</v>
      </c>
      <c r="AC66" s="128">
        <v>45847.0</v>
      </c>
      <c r="AD66" s="24" t="s">
        <v>21</v>
      </c>
      <c r="AE66" s="129" t="s">
        <v>50</v>
      </c>
      <c r="AF66" s="20"/>
      <c r="AG66" s="20"/>
      <c r="AH66" s="50" t="b">
        <v>1</v>
      </c>
      <c r="AI66" s="50" t="b">
        <v>1</v>
      </c>
      <c r="AJ66" s="50" t="b">
        <v>1</v>
      </c>
      <c r="AK66" s="50" t="b">
        <v>1</v>
      </c>
      <c r="AL66" s="112" t="b">
        <v>0</v>
      </c>
      <c r="AM66" s="50" t="b">
        <v>1</v>
      </c>
    </row>
    <row r="67">
      <c r="X67" s="30">
        <v>30.0</v>
      </c>
      <c r="Y67" s="22">
        <v>2.4372033E8</v>
      </c>
      <c r="Z67" s="22"/>
      <c r="AA67" s="40" t="s">
        <v>192</v>
      </c>
      <c r="AB67" s="18">
        <v>45698.0</v>
      </c>
      <c r="AC67" s="18">
        <v>45847.0</v>
      </c>
      <c r="AD67" s="24" t="s">
        <v>21</v>
      </c>
      <c r="AE67" s="25" t="s">
        <v>50</v>
      </c>
      <c r="AF67" s="21"/>
      <c r="AG67" s="20"/>
      <c r="AH67" s="50" t="b">
        <v>0</v>
      </c>
      <c r="AI67" s="50" t="b">
        <v>1</v>
      </c>
      <c r="AJ67" s="50" t="b">
        <v>1</v>
      </c>
      <c r="AK67" s="50" t="b">
        <v>1</v>
      </c>
      <c r="AL67" s="112" t="b">
        <v>0</v>
      </c>
      <c r="AM67" s="50" t="b">
        <v>1</v>
      </c>
    </row>
    <row r="68">
      <c r="X68" s="144">
        <v>31.0</v>
      </c>
      <c r="Y68" s="145">
        <v>2.43720331E8</v>
      </c>
      <c r="Z68" s="145"/>
      <c r="AA68" s="146" t="s">
        <v>193</v>
      </c>
      <c r="AB68" s="147">
        <v>45698.0</v>
      </c>
      <c r="AC68" s="147">
        <v>45847.0</v>
      </c>
      <c r="AD68" s="148" t="s">
        <v>21</v>
      </c>
      <c r="AE68" s="149" t="s">
        <v>18</v>
      </c>
      <c r="AF68" s="20"/>
      <c r="AG68" s="20"/>
      <c r="AH68" s="50" t="b">
        <v>0</v>
      </c>
      <c r="AI68" s="50" t="b">
        <v>0</v>
      </c>
      <c r="AJ68" s="50" t="b">
        <v>0</v>
      </c>
      <c r="AK68" s="50" t="b">
        <v>0</v>
      </c>
      <c r="AL68" s="50" t="b">
        <v>0</v>
      </c>
      <c r="AM68" s="50" t="b">
        <v>0</v>
      </c>
    </row>
    <row r="69">
      <c r="X69" s="30">
        <v>32.0</v>
      </c>
      <c r="Y69" s="22">
        <v>2.43720332E8</v>
      </c>
      <c r="Z69" s="22"/>
      <c r="AA69" s="150" t="s">
        <v>194</v>
      </c>
      <c r="AB69" s="18">
        <v>45698.0</v>
      </c>
      <c r="AC69" s="18">
        <v>45847.0</v>
      </c>
      <c r="AD69" s="24" t="s">
        <v>21</v>
      </c>
      <c r="AE69" s="25" t="s">
        <v>50</v>
      </c>
      <c r="AF69" s="21"/>
      <c r="AG69" s="20"/>
      <c r="AH69" s="50" t="b">
        <v>0</v>
      </c>
      <c r="AI69" s="50" t="b">
        <v>0</v>
      </c>
      <c r="AJ69" s="50" t="b">
        <v>0</v>
      </c>
      <c r="AK69" s="50" t="b">
        <v>0</v>
      </c>
      <c r="AL69" s="50" t="b">
        <v>0</v>
      </c>
      <c r="AM69" s="50" t="b">
        <v>0</v>
      </c>
    </row>
    <row r="70">
      <c r="X70" s="15"/>
      <c r="Y70" s="22"/>
      <c r="Z70" s="22"/>
      <c r="AA70" s="40"/>
      <c r="AB70" s="18"/>
      <c r="AC70" s="18"/>
      <c r="AD70" s="24"/>
      <c r="AE70" s="25"/>
      <c r="AF70" s="20"/>
      <c r="AG70" s="20"/>
      <c r="AH70" s="50" t="b">
        <v>0</v>
      </c>
      <c r="AI70" s="50" t="b">
        <v>0</v>
      </c>
      <c r="AJ70" s="50" t="b">
        <v>0</v>
      </c>
      <c r="AK70" s="50" t="b">
        <v>0</v>
      </c>
      <c r="AL70" s="50" t="b">
        <v>0</v>
      </c>
      <c r="AM70" s="50" t="b">
        <v>0</v>
      </c>
    </row>
    <row r="71">
      <c r="X71" s="151"/>
      <c r="Y71" s="152"/>
      <c r="Z71" s="152"/>
      <c r="AA71" s="153"/>
      <c r="AB71" s="154"/>
      <c r="AC71" s="154"/>
      <c r="AD71" s="155"/>
      <c r="AE71" s="156"/>
      <c r="AF71" s="32"/>
      <c r="AG71" s="29"/>
    </row>
    <row r="72" hidden="1">
      <c r="X72" s="151"/>
      <c r="Y72" s="152"/>
      <c r="Z72" s="152"/>
      <c r="AA72" s="153"/>
      <c r="AB72" s="154"/>
      <c r="AC72" s="154"/>
      <c r="AD72" s="155"/>
      <c r="AE72" s="156"/>
      <c r="AF72" s="32"/>
      <c r="AG72" s="29"/>
    </row>
    <row r="73" hidden="1"/>
    <row r="74" hidden="1"/>
    <row r="75" hidden="1"/>
    <row r="77" hidden="1"/>
    <row r="78" hidden="1"/>
    <row r="79" hidden="1"/>
    <row r="80">
      <c r="X80" s="30">
        <v>1.0</v>
      </c>
      <c r="Y80" s="22">
        <v>2.43720312E8</v>
      </c>
      <c r="Z80" s="22"/>
      <c r="AA80" s="40" t="s">
        <v>159</v>
      </c>
      <c r="AB80" s="157" t="s">
        <v>195</v>
      </c>
      <c r="AC80" s="2"/>
      <c r="AD80" s="5"/>
      <c r="AE80" s="25" t="s">
        <v>23</v>
      </c>
    </row>
    <row r="81">
      <c r="X81" s="30">
        <v>2.0</v>
      </c>
      <c r="Y81" s="22">
        <v>2.43720313E8</v>
      </c>
      <c r="Z81" s="22"/>
      <c r="AA81" s="40" t="s">
        <v>161</v>
      </c>
      <c r="AB81" s="158" t="s">
        <v>196</v>
      </c>
      <c r="AC81" s="97"/>
      <c r="AD81" s="106"/>
      <c r="AE81" s="25" t="s">
        <v>23</v>
      </c>
    </row>
    <row r="82">
      <c r="X82" s="30">
        <v>3.0</v>
      </c>
      <c r="Y82" s="22">
        <v>2.43720316E8</v>
      </c>
      <c r="Z82" s="22"/>
      <c r="AA82" s="40" t="s">
        <v>167</v>
      </c>
      <c r="AB82" s="159" t="s">
        <v>197</v>
      </c>
      <c r="AC82" s="97"/>
      <c r="AD82" s="106"/>
      <c r="AE82" s="25" t="s">
        <v>23</v>
      </c>
    </row>
    <row r="83">
      <c r="V83" s="50" t="s">
        <v>198</v>
      </c>
      <c r="X83" s="30">
        <v>4.0</v>
      </c>
      <c r="Y83" s="22">
        <v>2.43720326E8</v>
      </c>
      <c r="Z83" s="22"/>
      <c r="AA83" s="40" t="s">
        <v>187</v>
      </c>
      <c r="AB83" s="159" t="s">
        <v>199</v>
      </c>
      <c r="AC83" s="97"/>
      <c r="AD83" s="106"/>
      <c r="AE83" s="25" t="s">
        <v>50</v>
      </c>
    </row>
    <row r="84">
      <c r="X84" s="30">
        <v>5.0</v>
      </c>
      <c r="Y84" s="22">
        <v>2.43720322E8</v>
      </c>
      <c r="Z84" s="22"/>
      <c r="AA84" s="40" t="s">
        <v>180</v>
      </c>
      <c r="AB84" s="160" t="s">
        <v>200</v>
      </c>
      <c r="AC84" s="2"/>
      <c r="AD84" s="5"/>
      <c r="AE84" s="25" t="s">
        <v>31</v>
      </c>
    </row>
    <row r="87">
      <c r="X87" s="82" t="s">
        <v>118</v>
      </c>
      <c r="Y87" s="2"/>
      <c r="Z87" s="2"/>
      <c r="AA87" s="5"/>
      <c r="AB87" s="83" t="s">
        <v>18</v>
      </c>
      <c r="AC87" s="84" t="s">
        <v>41</v>
      </c>
      <c r="AD87" s="85" t="s">
        <v>31</v>
      </c>
      <c r="AE87" s="86" t="s">
        <v>50</v>
      </c>
      <c r="AF87" s="87" t="s">
        <v>119</v>
      </c>
      <c r="AG87" s="88" t="s">
        <v>120</v>
      </c>
    </row>
    <row r="88">
      <c r="X88" s="89" t="s">
        <v>201</v>
      </c>
      <c r="Y88" s="2"/>
      <c r="Z88" s="2"/>
      <c r="AA88" s="5"/>
      <c r="AB88" s="107">
        <v>5.0</v>
      </c>
      <c r="AC88" s="107">
        <v>3.0</v>
      </c>
      <c r="AD88" s="90">
        <v>9.0</v>
      </c>
      <c r="AE88" s="90">
        <v>9.0</v>
      </c>
      <c r="AF88" s="90">
        <v>9.0</v>
      </c>
      <c r="AG88" s="91">
        <v>32.0</v>
      </c>
    </row>
    <row r="89">
      <c r="X89" s="92" t="s">
        <v>126</v>
      </c>
      <c r="Y89" s="2"/>
      <c r="Z89" s="2"/>
      <c r="AA89" s="5"/>
      <c r="AB89" s="91">
        <v>10.0</v>
      </c>
      <c r="AC89" s="91">
        <v>0.0</v>
      </c>
      <c r="AD89" s="91">
        <v>5.0</v>
      </c>
      <c r="AE89" s="91">
        <v>10.0</v>
      </c>
      <c r="AF89" s="91">
        <v>7.0</v>
      </c>
      <c r="AG89" s="49">
        <f t="shared" ref="AG89:AG90" si="10">AB89+AC89+AD89+AE89+AF89</f>
        <v>32</v>
      </c>
    </row>
    <row r="90">
      <c r="X90" s="89" t="s">
        <v>127</v>
      </c>
      <c r="Y90" s="2"/>
      <c r="Z90" s="2"/>
      <c r="AA90" s="5"/>
      <c r="AB90" s="91">
        <f t="shared" ref="AB90:AF90" si="9">AB89-AB88</f>
        <v>5</v>
      </c>
      <c r="AC90" s="91">
        <f t="shared" si="9"/>
        <v>-3</v>
      </c>
      <c r="AD90" s="91">
        <f t="shared" si="9"/>
        <v>-4</v>
      </c>
      <c r="AE90" s="91">
        <f t="shared" si="9"/>
        <v>1</v>
      </c>
      <c r="AF90" s="91">
        <f t="shared" si="9"/>
        <v>-2</v>
      </c>
      <c r="AG90" s="91">
        <f t="shared" si="10"/>
        <v>-3</v>
      </c>
    </row>
    <row r="117">
      <c r="X117" s="7"/>
    </row>
    <row r="118">
      <c r="X118" s="161"/>
      <c r="AB118" s="162"/>
      <c r="AD118" s="162"/>
    </row>
    <row r="119">
      <c r="X119" s="151"/>
      <c r="Y119" s="152"/>
      <c r="Z119" s="152"/>
      <c r="AA119" s="153"/>
      <c r="AB119" s="154"/>
      <c r="AC119" s="154"/>
      <c r="AD119" s="155"/>
    </row>
    <row r="120">
      <c r="X120" s="28"/>
      <c r="Y120" s="152"/>
      <c r="Z120" s="152"/>
      <c r="AA120" s="153"/>
      <c r="AB120" s="154"/>
      <c r="AC120" s="154"/>
      <c r="AD120" s="155"/>
    </row>
    <row r="121">
      <c r="X121" s="151"/>
      <c r="Y121" s="152"/>
      <c r="Z121" s="152"/>
      <c r="AA121" s="153"/>
      <c r="AB121" s="154"/>
      <c r="AC121" s="154"/>
      <c r="AD121" s="155"/>
    </row>
    <row r="122">
      <c r="X122" s="28"/>
      <c r="Y122" s="152"/>
      <c r="Z122" s="152"/>
      <c r="AA122" s="153"/>
      <c r="AB122" s="154"/>
      <c r="AC122" s="154"/>
      <c r="AD122" s="155"/>
    </row>
    <row r="123">
      <c r="X123" s="151"/>
      <c r="Y123" s="152"/>
      <c r="Z123" s="152"/>
      <c r="AA123" s="153"/>
      <c r="AB123" s="154"/>
      <c r="AC123" s="154"/>
      <c r="AD123" s="155"/>
    </row>
    <row r="124">
      <c r="X124" s="28"/>
      <c r="Y124" s="152"/>
      <c r="Z124" s="152"/>
      <c r="AA124" s="153"/>
      <c r="AB124" s="154"/>
      <c r="AC124" s="154"/>
      <c r="AD124" s="155"/>
    </row>
    <row r="125">
      <c r="X125" s="151"/>
      <c r="Y125" s="152"/>
      <c r="Z125" s="152"/>
      <c r="AA125" s="153"/>
      <c r="AB125" s="154"/>
      <c r="AC125" s="154"/>
      <c r="AD125" s="155"/>
    </row>
    <row r="126">
      <c r="X126" s="28"/>
      <c r="Y126" s="152"/>
      <c r="Z126" s="152"/>
      <c r="AA126" s="153"/>
      <c r="AB126" s="154"/>
      <c r="AC126" s="154"/>
      <c r="AD126" s="155"/>
    </row>
    <row r="127">
      <c r="X127" s="151"/>
      <c r="Y127" s="152"/>
      <c r="Z127" s="152"/>
      <c r="AA127" s="153"/>
      <c r="AB127" s="154"/>
      <c r="AC127" s="154"/>
      <c r="AD127" s="155"/>
    </row>
    <row r="128">
      <c r="X128" s="28"/>
      <c r="Y128" s="152"/>
      <c r="Z128" s="152"/>
      <c r="AA128" s="153"/>
      <c r="AB128" s="154"/>
      <c r="AC128" s="154"/>
      <c r="AD128" s="155"/>
    </row>
    <row r="129">
      <c r="X129" s="151"/>
      <c r="Y129" s="152"/>
      <c r="Z129" s="152"/>
      <c r="AA129" s="153"/>
      <c r="AB129" s="154"/>
      <c r="AC129" s="154"/>
      <c r="AD129" s="155"/>
    </row>
    <row r="130">
      <c r="X130" s="163"/>
      <c r="Y130" s="152"/>
      <c r="Z130" s="152"/>
      <c r="AA130" s="164"/>
      <c r="AB130" s="154"/>
      <c r="AC130" s="154"/>
      <c r="AD130" s="165"/>
    </row>
    <row r="131">
      <c r="X131" s="151"/>
      <c r="Y131" s="162"/>
      <c r="Z131" s="162"/>
      <c r="AA131" s="166"/>
      <c r="AB131" s="167"/>
      <c r="AC131" s="167"/>
      <c r="AD131" s="155"/>
    </row>
    <row r="132">
      <c r="X132" s="28"/>
      <c r="Y132" s="162"/>
      <c r="Z132" s="162"/>
      <c r="AA132" s="166"/>
      <c r="AB132" s="167"/>
      <c r="AC132" s="167"/>
      <c r="AD132" s="155"/>
    </row>
    <row r="133">
      <c r="X133" s="151"/>
      <c r="Y133" s="162"/>
      <c r="Z133" s="162"/>
      <c r="AA133" s="166"/>
      <c r="AB133" s="167"/>
      <c r="AC133" s="167"/>
      <c r="AD133" s="155"/>
    </row>
    <row r="134">
      <c r="X134" s="28"/>
      <c r="Y134" s="162"/>
      <c r="Z134" s="162"/>
      <c r="AA134" s="166"/>
      <c r="AB134" s="167"/>
      <c r="AC134" s="167"/>
      <c r="AD134" s="155"/>
    </row>
    <row r="135">
      <c r="X135" s="151"/>
      <c r="Y135" s="162"/>
      <c r="Z135" s="162"/>
      <c r="AA135" s="166"/>
      <c r="AB135" s="167"/>
      <c r="AC135" s="167"/>
      <c r="AD135" s="155"/>
    </row>
    <row r="136">
      <c r="X136" s="28"/>
      <c r="Y136" s="162"/>
      <c r="Z136" s="162"/>
      <c r="AA136" s="166"/>
      <c r="AB136" s="167"/>
      <c r="AC136" s="167"/>
      <c r="AD136" s="155"/>
    </row>
    <row r="137">
      <c r="X137" s="151"/>
      <c r="Y137" s="162"/>
      <c r="Z137" s="162"/>
      <c r="AA137" s="166"/>
      <c r="AB137" s="167"/>
      <c r="AC137" s="167"/>
      <c r="AD137" s="155"/>
    </row>
    <row r="138">
      <c r="X138" s="28"/>
      <c r="Y138" s="162"/>
      <c r="Z138" s="162"/>
      <c r="AA138" s="166"/>
      <c r="AB138" s="167"/>
      <c r="AC138" s="167"/>
      <c r="AD138" s="155"/>
    </row>
    <row r="139">
      <c r="X139" s="151"/>
      <c r="Y139" s="162"/>
      <c r="Z139" s="162"/>
      <c r="AA139" s="166"/>
      <c r="AB139" s="167"/>
      <c r="AC139" s="167"/>
      <c r="AD139" s="155"/>
    </row>
    <row r="140">
      <c r="X140" s="28"/>
      <c r="Y140" s="162"/>
      <c r="Z140" s="162"/>
      <c r="AA140" s="166"/>
      <c r="AB140" s="167"/>
      <c r="AC140" s="167"/>
      <c r="AD140" s="155"/>
    </row>
    <row r="141">
      <c r="X141" s="151"/>
      <c r="Y141" s="162"/>
      <c r="Z141" s="162"/>
      <c r="AA141" s="166"/>
      <c r="AB141" s="167"/>
      <c r="AC141" s="167"/>
      <c r="AD141" s="155"/>
    </row>
    <row r="142">
      <c r="X142" s="28"/>
      <c r="Y142" s="162"/>
      <c r="Z142" s="162"/>
      <c r="AA142" s="166"/>
      <c r="AB142" s="167"/>
      <c r="AC142" s="167"/>
      <c r="AD142" s="155"/>
    </row>
    <row r="143">
      <c r="X143" s="151"/>
      <c r="Y143" s="162"/>
      <c r="Z143" s="131"/>
      <c r="AA143" s="166"/>
      <c r="AB143" s="167"/>
      <c r="AC143" s="167"/>
      <c r="AD143" s="155"/>
    </row>
    <row r="144">
      <c r="X144" s="28"/>
      <c r="Y144" s="162"/>
      <c r="Z144" s="162"/>
      <c r="AA144" s="166"/>
      <c r="AB144" s="167"/>
      <c r="AC144" s="167"/>
      <c r="AD144" s="155"/>
    </row>
    <row r="145">
      <c r="X145" s="151"/>
      <c r="Y145" s="162"/>
      <c r="Z145" s="162"/>
      <c r="AA145" s="166"/>
      <c r="AB145" s="167"/>
      <c r="AC145" s="167"/>
      <c r="AD145" s="155"/>
    </row>
    <row r="146">
      <c r="X146" s="28"/>
      <c r="Y146" s="162"/>
      <c r="Z146" s="131"/>
      <c r="AA146" s="166"/>
      <c r="AB146" s="167"/>
      <c r="AC146" s="167"/>
      <c r="AD146" s="155"/>
    </row>
    <row r="147">
      <c r="X147" s="151"/>
      <c r="Y147" s="162"/>
      <c r="Z147" s="162"/>
      <c r="AA147" s="166"/>
      <c r="AB147" s="167"/>
      <c r="AC147" s="167"/>
      <c r="AD147" s="155"/>
    </row>
    <row r="148">
      <c r="X148" s="28"/>
      <c r="Y148" s="152"/>
      <c r="Z148" s="152"/>
      <c r="AA148" s="153"/>
      <c r="AB148" s="154"/>
      <c r="AC148" s="154"/>
      <c r="AD148" s="155"/>
    </row>
    <row r="149">
      <c r="X149" s="151"/>
      <c r="Y149" s="152"/>
      <c r="Z149" s="152"/>
      <c r="AA149" s="153"/>
      <c r="AB149" s="154"/>
      <c r="AC149" s="154"/>
      <c r="AD149" s="155"/>
    </row>
    <row r="150">
      <c r="X150" s="28"/>
      <c r="Y150" s="152"/>
      <c r="Z150" s="152"/>
      <c r="AA150" s="153"/>
      <c r="AB150" s="154"/>
      <c r="AC150" s="154"/>
      <c r="AD150" s="155"/>
    </row>
    <row r="151">
      <c r="AA151" s="153"/>
    </row>
    <row r="153">
      <c r="X153" s="7"/>
    </row>
    <row r="154">
      <c r="X154" s="161"/>
      <c r="AB154" s="162"/>
      <c r="AD154" s="162"/>
    </row>
    <row r="155">
      <c r="X155" s="151"/>
      <c r="Y155" s="152"/>
      <c r="Z155" s="152"/>
      <c r="AA155" s="153"/>
      <c r="AB155" s="154"/>
      <c r="AC155" s="154"/>
      <c r="AD155" s="155"/>
    </row>
    <row r="156">
      <c r="X156" s="28"/>
      <c r="Y156" s="152"/>
      <c r="Z156" s="152"/>
      <c r="AA156" s="153"/>
      <c r="AB156" s="154"/>
      <c r="AC156" s="154"/>
      <c r="AD156" s="155"/>
    </row>
    <row r="157">
      <c r="X157" s="151"/>
      <c r="Y157" s="152"/>
      <c r="Z157" s="152"/>
      <c r="AA157" s="153"/>
      <c r="AB157" s="154"/>
      <c r="AC157" s="154"/>
      <c r="AD157" s="155"/>
    </row>
    <row r="158">
      <c r="X158" s="28"/>
      <c r="Y158" s="152"/>
      <c r="Z158" s="152"/>
      <c r="AA158" s="153"/>
      <c r="AB158" s="154"/>
      <c r="AC158" s="154"/>
      <c r="AD158" s="155"/>
    </row>
    <row r="159">
      <c r="X159" s="151"/>
      <c r="Y159" s="152"/>
      <c r="Z159" s="152"/>
      <c r="AA159" s="153"/>
      <c r="AB159" s="154"/>
      <c r="AC159" s="154"/>
      <c r="AD159" s="155"/>
    </row>
    <row r="160">
      <c r="X160" s="28"/>
      <c r="Y160" s="152"/>
      <c r="Z160" s="152"/>
      <c r="AA160" s="153"/>
      <c r="AB160" s="154"/>
      <c r="AC160" s="154"/>
      <c r="AD160" s="155"/>
    </row>
    <row r="161">
      <c r="X161" s="151"/>
      <c r="Y161" s="152"/>
      <c r="Z161" s="152"/>
      <c r="AA161" s="153"/>
      <c r="AB161" s="154"/>
      <c r="AC161" s="154"/>
      <c r="AD161" s="155"/>
    </row>
    <row r="162">
      <c r="X162" s="28"/>
      <c r="Y162" s="152"/>
      <c r="Z162" s="152"/>
      <c r="AA162" s="153"/>
      <c r="AB162" s="154"/>
      <c r="AC162" s="154"/>
      <c r="AD162" s="155"/>
    </row>
    <row r="163">
      <c r="X163" s="151"/>
      <c r="Y163" s="152"/>
      <c r="Z163" s="152"/>
      <c r="AA163" s="153"/>
      <c r="AB163" s="154"/>
      <c r="AC163" s="154"/>
      <c r="AD163" s="155"/>
    </row>
    <row r="164">
      <c r="X164" s="28"/>
      <c r="Y164" s="152"/>
      <c r="Z164" s="152"/>
      <c r="AA164" s="153"/>
      <c r="AB164" s="154"/>
      <c r="AC164" s="154"/>
      <c r="AD164" s="155"/>
    </row>
    <row r="165">
      <c r="X165" s="151"/>
      <c r="Y165" s="152"/>
      <c r="Z165" s="152"/>
      <c r="AA165" s="153"/>
      <c r="AB165" s="154"/>
      <c r="AC165" s="154"/>
      <c r="AD165" s="155"/>
    </row>
    <row r="166">
      <c r="X166" s="163"/>
      <c r="Y166" s="152"/>
      <c r="Z166" s="152"/>
      <c r="AA166" s="164"/>
      <c r="AB166" s="154"/>
      <c r="AC166" s="154"/>
      <c r="AD166" s="165"/>
    </row>
    <row r="167">
      <c r="X167" s="151"/>
      <c r="Y167" s="162"/>
      <c r="Z167" s="162"/>
      <c r="AA167" s="166"/>
      <c r="AB167" s="167"/>
      <c r="AC167" s="167"/>
      <c r="AD167" s="155"/>
    </row>
    <row r="168">
      <c r="X168" s="28"/>
      <c r="Y168" s="162"/>
      <c r="Z168" s="162"/>
      <c r="AA168" s="166"/>
      <c r="AB168" s="167"/>
      <c r="AC168" s="167"/>
      <c r="AD168" s="155"/>
    </row>
    <row r="169">
      <c r="X169" s="151"/>
      <c r="Y169" s="162"/>
      <c r="Z169" s="162"/>
      <c r="AA169" s="166"/>
      <c r="AB169" s="167"/>
      <c r="AC169" s="167"/>
      <c r="AD169" s="155"/>
    </row>
    <row r="170">
      <c r="X170" s="28"/>
      <c r="Y170" s="162"/>
      <c r="Z170" s="162"/>
      <c r="AA170" s="166"/>
      <c r="AB170" s="167"/>
      <c r="AC170" s="167"/>
      <c r="AD170" s="155"/>
    </row>
    <row r="171">
      <c r="X171" s="151"/>
      <c r="Y171" s="162"/>
      <c r="Z171" s="162"/>
      <c r="AA171" s="166"/>
      <c r="AB171" s="167"/>
      <c r="AC171" s="167"/>
      <c r="AD171" s="155"/>
    </row>
    <row r="172">
      <c r="X172" s="28"/>
      <c r="Y172" s="162"/>
      <c r="Z172" s="162"/>
      <c r="AA172" s="166"/>
      <c r="AB172" s="167"/>
      <c r="AC172" s="167"/>
      <c r="AD172" s="155"/>
    </row>
    <row r="173">
      <c r="X173" s="151"/>
      <c r="Y173" s="162"/>
      <c r="Z173" s="162"/>
      <c r="AA173" s="166"/>
      <c r="AB173" s="167"/>
      <c r="AC173" s="167"/>
      <c r="AD173" s="155"/>
    </row>
    <row r="174">
      <c r="X174" s="28"/>
      <c r="Y174" s="162"/>
      <c r="Z174" s="162"/>
      <c r="AA174" s="166"/>
      <c r="AB174" s="167"/>
      <c r="AC174" s="167"/>
      <c r="AD174" s="155"/>
    </row>
    <row r="175">
      <c r="X175" s="151"/>
      <c r="Y175" s="162"/>
      <c r="Z175" s="162"/>
      <c r="AA175" s="166"/>
      <c r="AB175" s="167"/>
      <c r="AC175" s="167"/>
      <c r="AD175" s="155"/>
    </row>
    <row r="176">
      <c r="X176" s="28"/>
      <c r="Y176" s="162"/>
      <c r="Z176" s="162"/>
      <c r="AA176" s="166"/>
      <c r="AB176" s="167"/>
      <c r="AC176" s="167"/>
      <c r="AD176" s="155"/>
    </row>
    <row r="177">
      <c r="X177" s="151"/>
      <c r="Y177" s="162"/>
      <c r="Z177" s="162"/>
      <c r="AA177" s="166"/>
      <c r="AB177" s="167"/>
      <c r="AC177" s="167"/>
      <c r="AD177" s="155"/>
    </row>
    <row r="178">
      <c r="X178" s="28"/>
      <c r="Y178" s="162"/>
      <c r="Z178" s="162"/>
      <c r="AA178" s="166"/>
      <c r="AB178" s="167"/>
      <c r="AC178" s="167"/>
      <c r="AD178" s="155"/>
    </row>
    <row r="179">
      <c r="X179" s="151"/>
      <c r="Y179" s="162"/>
      <c r="Z179" s="131"/>
      <c r="AA179" s="166"/>
      <c r="AB179" s="167"/>
      <c r="AC179" s="167"/>
      <c r="AD179" s="155"/>
    </row>
    <row r="180">
      <c r="X180" s="28"/>
      <c r="Y180" s="162"/>
      <c r="Z180" s="162"/>
      <c r="AA180" s="166"/>
      <c r="AB180" s="167"/>
      <c r="AC180" s="167"/>
      <c r="AD180" s="155"/>
    </row>
    <row r="181">
      <c r="X181" s="151"/>
      <c r="Y181" s="162"/>
      <c r="Z181" s="162"/>
      <c r="AA181" s="166"/>
      <c r="AB181" s="167"/>
      <c r="AC181" s="167"/>
      <c r="AD181" s="155"/>
    </row>
    <row r="182">
      <c r="X182" s="28"/>
      <c r="Y182" s="162"/>
      <c r="Z182" s="131"/>
      <c r="AA182" s="166"/>
      <c r="AB182" s="167"/>
      <c r="AC182" s="167"/>
      <c r="AD182" s="155"/>
    </row>
    <row r="183">
      <c r="X183" s="151"/>
      <c r="Y183" s="162"/>
      <c r="Z183" s="162"/>
      <c r="AA183" s="166"/>
      <c r="AB183" s="167"/>
      <c r="AC183" s="167"/>
      <c r="AD183" s="155"/>
    </row>
    <row r="184">
      <c r="X184" s="28"/>
      <c r="Y184" s="152"/>
      <c r="Z184" s="152"/>
      <c r="AA184" s="153"/>
      <c r="AB184" s="154"/>
      <c r="AC184" s="154"/>
      <c r="AD184" s="155"/>
    </row>
    <row r="185">
      <c r="X185" s="151"/>
      <c r="Y185" s="152"/>
      <c r="Z185" s="152"/>
      <c r="AA185" s="153"/>
      <c r="AB185" s="154"/>
      <c r="AC185" s="154"/>
      <c r="AD185" s="155"/>
    </row>
    <row r="186">
      <c r="X186" s="28"/>
      <c r="Y186" s="152"/>
      <c r="Z186" s="152"/>
      <c r="AA186" s="153"/>
      <c r="AB186" s="154"/>
      <c r="AC186" s="154"/>
      <c r="AD186" s="155"/>
    </row>
    <row r="187">
      <c r="X187" s="28"/>
      <c r="Y187" s="152"/>
      <c r="AA187" s="153"/>
      <c r="AB187" s="167"/>
      <c r="AC187" s="167"/>
      <c r="AD187" s="155"/>
    </row>
    <row r="188">
      <c r="X188" s="151"/>
      <c r="Y188" s="152"/>
      <c r="AA188" s="153"/>
      <c r="AB188" s="167"/>
      <c r="AC188" s="167"/>
      <c r="AD188" s="155"/>
    </row>
    <row r="189">
      <c r="X189" s="28"/>
      <c r="Y189" s="152"/>
      <c r="AA189" s="153"/>
      <c r="AB189" s="154"/>
      <c r="AC189" s="154"/>
      <c r="AD189" s="155"/>
    </row>
    <row r="190">
      <c r="AA190" s="153"/>
    </row>
  </sheetData>
  <mergeCells count="40">
    <mergeCell ref="A1:H1"/>
    <mergeCell ref="M1:V1"/>
    <mergeCell ref="X1:AG1"/>
    <mergeCell ref="E2:F2"/>
    <mergeCell ref="X2:Z2"/>
    <mergeCell ref="X30:AA30"/>
    <mergeCell ref="X31:AA31"/>
    <mergeCell ref="M36:P36"/>
    <mergeCell ref="X36:AD36"/>
    <mergeCell ref="AH36:AM36"/>
    <mergeCell ref="X32:AA32"/>
    <mergeCell ref="X33:AA33"/>
    <mergeCell ref="A34:D34"/>
    <mergeCell ref="M34:P34"/>
    <mergeCell ref="A35:D35"/>
    <mergeCell ref="M35:P35"/>
    <mergeCell ref="A36:D36"/>
    <mergeCell ref="M37:P37"/>
    <mergeCell ref="X37:AA37"/>
    <mergeCell ref="A38:J38"/>
    <mergeCell ref="A63:D63"/>
    <mergeCell ref="A64:D64"/>
    <mergeCell ref="A65:D65"/>
    <mergeCell ref="A66:D66"/>
    <mergeCell ref="AB37:AC37"/>
    <mergeCell ref="AB80:AD80"/>
    <mergeCell ref="AB81:AD81"/>
    <mergeCell ref="AB82:AD82"/>
    <mergeCell ref="AB83:AD83"/>
    <mergeCell ref="AB84:AD84"/>
    <mergeCell ref="X87:AA87"/>
    <mergeCell ref="X154:AA154"/>
    <mergeCell ref="AB154:AC154"/>
    <mergeCell ref="X88:AA88"/>
    <mergeCell ref="X89:AA89"/>
    <mergeCell ref="X90:AA90"/>
    <mergeCell ref="X117:AD117"/>
    <mergeCell ref="X118:AA118"/>
    <mergeCell ref="AB118:AC118"/>
    <mergeCell ref="X153:AD15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